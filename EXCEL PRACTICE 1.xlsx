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2 APRIL 2026\KARYA\"/>
    </mc:Choice>
  </mc:AlternateContent>
  <xr:revisionPtr revIDLastSave="0" documentId="13_ncr:1_{A7F44D8A-C0A6-4B20-86AD-5C8996163AA7}" xr6:coauthVersionLast="47" xr6:coauthVersionMax="47" xr10:uidLastSave="{00000000-0000-0000-0000-000000000000}"/>
  <bookViews>
    <workbookView xWindow="-120" yWindow="-120" windowWidth="20730" windowHeight="11040" firstSheet="5" activeTab="12" xr2:uid="{5ABB450A-064B-45B8-9DCC-FE371D07E80F}"/>
  </bookViews>
  <sheets>
    <sheet name="Sheet1" sheetId="1" r:id="rId1"/>
    <sheet name="Sheet2" sheetId="2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heet8" sheetId="10" r:id="rId8"/>
    <sheet name="Sheet8.1" sheetId="11" r:id="rId9"/>
    <sheet name="Sheet9" sheetId="15" r:id="rId10"/>
    <sheet name="Sheet10" sheetId="12" r:id="rId11"/>
    <sheet name="Sheet11" sheetId="13" r:id="rId12"/>
    <sheet name="Sheet12" sheetId="14" r:id="rId13"/>
  </sheets>
  <definedNames>
    <definedName name="_xlchart.v1.0" hidden="1">Sheet9!$I$3</definedName>
    <definedName name="_xlchart.v1.1" hidden="1">Sheet9!$I$4:$I$20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4" l="1"/>
  <c r="C13" i="14"/>
  <c r="C12" i="14"/>
  <c r="C10" i="14"/>
  <c r="C9" i="14"/>
  <c r="C8" i="14"/>
  <c r="C7" i="14"/>
  <c r="C6" i="14"/>
  <c r="K4" i="13"/>
  <c r="K5" i="13"/>
  <c r="K6" i="13"/>
  <c r="K7" i="13"/>
  <c r="K8" i="13"/>
  <c r="K9" i="13"/>
  <c r="K10" i="13"/>
  <c r="K11" i="13"/>
  <c r="K12" i="13"/>
  <c r="K3" i="13"/>
  <c r="G4" i="13"/>
  <c r="G5" i="13"/>
  <c r="G6" i="13"/>
  <c r="G7" i="13"/>
  <c r="G8" i="13"/>
  <c r="G9" i="13"/>
  <c r="G10" i="13"/>
  <c r="G11" i="13"/>
  <c r="G12" i="13"/>
  <c r="G3" i="13"/>
  <c r="J3" i="13"/>
  <c r="J4" i="13"/>
  <c r="J5" i="13"/>
  <c r="J6" i="13"/>
  <c r="J7" i="13"/>
  <c r="J8" i="13"/>
  <c r="J9" i="13"/>
  <c r="J10" i="13"/>
  <c r="J11" i="13"/>
  <c r="J12" i="13"/>
  <c r="F3" i="13"/>
  <c r="I4" i="13"/>
  <c r="I5" i="13"/>
  <c r="I6" i="13"/>
  <c r="I7" i="13"/>
  <c r="I8" i="13"/>
  <c r="I9" i="13"/>
  <c r="I10" i="13"/>
  <c r="I11" i="13"/>
  <c r="I12" i="13"/>
  <c r="I3" i="13"/>
  <c r="F9" i="13"/>
  <c r="F10" i="13"/>
  <c r="F11" i="13"/>
  <c r="F12" i="13"/>
  <c r="F7" i="13"/>
  <c r="F6" i="13"/>
  <c r="F5" i="13"/>
  <c r="F4" i="13"/>
  <c r="F8" i="13"/>
  <c r="E4" i="13"/>
  <c r="E5" i="13"/>
  <c r="E6" i="13"/>
  <c r="E7" i="13"/>
  <c r="E8" i="13"/>
  <c r="E9" i="13"/>
  <c r="E10" i="13"/>
  <c r="E11" i="13"/>
  <c r="E12" i="13"/>
  <c r="E3" i="13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5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5" i="12"/>
  <c r="I21" i="15" l="1"/>
  <c r="K7" i="15"/>
  <c r="L7" i="15" s="1"/>
  <c r="K11" i="15"/>
  <c r="L11" i="15" s="1"/>
  <c r="K15" i="15"/>
  <c r="L15" i="15" s="1"/>
  <c r="K19" i="15"/>
  <c r="L19" i="15" s="1"/>
  <c r="J7" i="15"/>
  <c r="J8" i="15"/>
  <c r="K8" i="15" s="1"/>
  <c r="J9" i="15"/>
  <c r="K9" i="15" s="1"/>
  <c r="J10" i="15"/>
  <c r="K10" i="15" s="1"/>
  <c r="J11" i="15"/>
  <c r="J12" i="15"/>
  <c r="K12" i="15" s="1"/>
  <c r="J13" i="15"/>
  <c r="K13" i="15" s="1"/>
  <c r="J14" i="15"/>
  <c r="K14" i="15" s="1"/>
  <c r="J15" i="15"/>
  <c r="J16" i="15"/>
  <c r="K16" i="15" s="1"/>
  <c r="J17" i="15"/>
  <c r="K17" i="15" s="1"/>
  <c r="J18" i="15"/>
  <c r="K18" i="15" s="1"/>
  <c r="J19" i="15"/>
  <c r="J20" i="15"/>
  <c r="K20" i="15" s="1"/>
  <c r="J6" i="15"/>
  <c r="K6" i="15" s="1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6" i="15"/>
  <c r="I22" i="15"/>
  <c r="K29" i="10"/>
  <c r="O29" i="10"/>
  <c r="N29" i="10"/>
  <c r="M29" i="10"/>
  <c r="L29" i="10"/>
  <c r="J29" i="10"/>
  <c r="I29" i="10"/>
  <c r="H29" i="10"/>
  <c r="G29" i="10"/>
  <c r="N7" i="10"/>
  <c r="N8" i="10"/>
  <c r="N9" i="10"/>
  <c r="O9" i="10" s="1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6" i="10"/>
  <c r="O7" i="10"/>
  <c r="M6" i="10"/>
  <c r="M8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M7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L18" i="15" l="1"/>
  <c r="M18" i="15"/>
  <c r="L14" i="15"/>
  <c r="M14" i="15" s="1"/>
  <c r="L10" i="15"/>
  <c r="M10" i="15"/>
  <c r="L6" i="15"/>
  <c r="M6" i="15" s="1"/>
  <c r="L17" i="15"/>
  <c r="M17" i="15"/>
  <c r="L13" i="15"/>
  <c r="M13" i="15" s="1"/>
  <c r="L9" i="15"/>
  <c r="M9" i="15"/>
  <c r="M20" i="15"/>
  <c r="L20" i="15"/>
  <c r="L16" i="15"/>
  <c r="M16" i="15" s="1"/>
  <c r="M12" i="15"/>
  <c r="L12" i="15"/>
  <c r="L8" i="15"/>
  <c r="M8" i="15" s="1"/>
  <c r="M19" i="15"/>
  <c r="M15" i="15"/>
  <c r="M11" i="15"/>
  <c r="M7" i="15"/>
  <c r="O8" i="10"/>
  <c r="O6" i="10"/>
  <c r="L6" i="10"/>
  <c r="K6" i="10"/>
  <c r="J6" i="10"/>
  <c r="I6" i="10"/>
  <c r="H6" i="10"/>
  <c r="G6" i="10"/>
  <c r="M5" i="9"/>
  <c r="M6" i="9"/>
  <c r="M7" i="9"/>
  <c r="M8" i="9"/>
  <c r="M9" i="9"/>
  <c r="M10" i="9"/>
  <c r="M11" i="9"/>
  <c r="M12" i="9"/>
  <c r="M13" i="9"/>
  <c r="M14" i="9"/>
  <c r="M15" i="9"/>
  <c r="M16" i="9"/>
  <c r="M3" i="9"/>
  <c r="M4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O3" i="9"/>
  <c r="M22" i="15" l="1"/>
  <c r="M21" i="15"/>
  <c r="N3" i="9"/>
  <c r="L4" i="9" l="1"/>
  <c r="L5" i="9"/>
  <c r="L6" i="9"/>
  <c r="L7" i="9"/>
  <c r="L8" i="9"/>
  <c r="L9" i="9"/>
  <c r="L10" i="9"/>
  <c r="L11" i="9"/>
  <c r="L12" i="9"/>
  <c r="L13" i="9"/>
  <c r="L14" i="9"/>
  <c r="L15" i="9"/>
  <c r="L16" i="9"/>
  <c r="L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3" i="9"/>
  <c r="P5" i="8"/>
  <c r="P6" i="8"/>
  <c r="P7" i="8"/>
  <c r="P8" i="8"/>
  <c r="P9" i="8"/>
  <c r="P10" i="8"/>
  <c r="P11" i="8"/>
  <c r="P12" i="8"/>
  <c r="P13" i="8"/>
  <c r="P4" i="8"/>
  <c r="N5" i="8"/>
  <c r="N6" i="8"/>
  <c r="N7" i="8"/>
  <c r="N8" i="8"/>
  <c r="N9" i="8"/>
  <c r="N10" i="8"/>
  <c r="N11" i="8"/>
  <c r="N12" i="8"/>
  <c r="N13" i="8"/>
  <c r="N4" i="8"/>
  <c r="M5" i="8"/>
  <c r="M6" i="8"/>
  <c r="M7" i="8"/>
  <c r="M8" i="8"/>
  <c r="M9" i="8"/>
  <c r="M10" i="8"/>
  <c r="M11" i="8"/>
  <c r="M12" i="8"/>
  <c r="M13" i="8"/>
  <c r="M4" i="8"/>
  <c r="L5" i="8"/>
  <c r="L6" i="8"/>
  <c r="L7" i="8"/>
  <c r="L8" i="8"/>
  <c r="L9" i="8"/>
  <c r="L10" i="8"/>
  <c r="L11" i="8"/>
  <c r="L12" i="8"/>
  <c r="L13" i="8"/>
  <c r="L4" i="8"/>
  <c r="K5" i="8"/>
  <c r="K6" i="8"/>
  <c r="K7" i="8"/>
  <c r="K8" i="8"/>
  <c r="K9" i="8"/>
  <c r="K10" i="8"/>
  <c r="K11" i="8"/>
  <c r="K12" i="8"/>
  <c r="K13" i="8"/>
  <c r="K4" i="8"/>
  <c r="J5" i="8"/>
  <c r="J6" i="8"/>
  <c r="J7" i="8"/>
  <c r="J8" i="8"/>
  <c r="J9" i="8"/>
  <c r="J10" i="8"/>
  <c r="J11" i="8"/>
  <c r="J12" i="8"/>
  <c r="J13" i="8"/>
  <c r="J4" i="8"/>
  <c r="H5" i="8"/>
  <c r="H6" i="8"/>
  <c r="H7" i="8"/>
  <c r="H8" i="8"/>
  <c r="H9" i="8"/>
  <c r="H10" i="8"/>
  <c r="H11" i="8"/>
  <c r="H12" i="8"/>
  <c r="H13" i="8"/>
  <c r="H4" i="8"/>
  <c r="G5" i="8"/>
  <c r="G6" i="8"/>
  <c r="G7" i="8"/>
  <c r="G8" i="8"/>
  <c r="G9" i="8"/>
  <c r="G10" i="8"/>
  <c r="G11" i="8"/>
  <c r="G12" i="8"/>
  <c r="G13" i="8"/>
  <c r="G4" i="8"/>
  <c r="F5" i="8"/>
  <c r="F6" i="8"/>
  <c r="F7" i="8"/>
  <c r="F8" i="8"/>
  <c r="F9" i="8"/>
  <c r="F10" i="8"/>
  <c r="F11" i="8"/>
  <c r="F12" i="8"/>
  <c r="F13" i="8"/>
  <c r="F4" i="8"/>
  <c r="E5" i="8"/>
  <c r="E6" i="8"/>
  <c r="E7" i="8"/>
  <c r="E8" i="8"/>
  <c r="E9" i="8"/>
  <c r="E10" i="8"/>
  <c r="E11" i="8"/>
  <c r="E12" i="8"/>
  <c r="E13" i="8"/>
  <c r="E4" i="8"/>
  <c r="L5" i="7"/>
  <c r="L6" i="7"/>
  <c r="L7" i="7"/>
  <c r="L8" i="7"/>
  <c r="L9" i="7"/>
  <c r="L10" i="7"/>
  <c r="L11" i="7"/>
  <c r="L12" i="7"/>
  <c r="L4" i="7"/>
  <c r="K5" i="7"/>
  <c r="K6" i="7"/>
  <c r="K7" i="7"/>
  <c r="K8" i="7"/>
  <c r="K9" i="7"/>
  <c r="K10" i="7"/>
  <c r="K11" i="7"/>
  <c r="K12" i="7"/>
  <c r="K4" i="7"/>
  <c r="J5" i="7"/>
  <c r="J6" i="7"/>
  <c r="J7" i="7"/>
  <c r="J8" i="7"/>
  <c r="J9" i="7"/>
  <c r="J10" i="7"/>
  <c r="J11" i="7"/>
  <c r="J12" i="7"/>
  <c r="J4" i="7"/>
  <c r="I5" i="7"/>
  <c r="I6" i="7"/>
  <c r="I7" i="7"/>
  <c r="I8" i="7"/>
  <c r="I9" i="7"/>
  <c r="I10" i="7"/>
  <c r="I11" i="7"/>
  <c r="I12" i="7"/>
  <c r="I4" i="7"/>
  <c r="E5" i="7"/>
  <c r="E6" i="7"/>
  <c r="E7" i="7"/>
  <c r="E8" i="7"/>
  <c r="E9" i="7"/>
  <c r="E10" i="7"/>
  <c r="E11" i="7"/>
  <c r="E12" i="7"/>
  <c r="E4" i="7"/>
  <c r="N18" i="6"/>
  <c r="N17" i="6"/>
  <c r="N16" i="6"/>
  <c r="N15" i="6"/>
  <c r="N14" i="6"/>
  <c r="N5" i="6"/>
  <c r="N6" i="6"/>
  <c r="N7" i="6"/>
  <c r="N8" i="6"/>
  <c r="N9" i="6"/>
  <c r="N10" i="6"/>
  <c r="N11" i="6"/>
  <c r="N12" i="6"/>
  <c r="N13" i="6"/>
  <c r="N4" i="6"/>
  <c r="M4" i="6"/>
  <c r="M5" i="6"/>
  <c r="M6" i="6"/>
  <c r="M7" i="6"/>
  <c r="M8" i="6"/>
  <c r="M9" i="6"/>
  <c r="M10" i="6"/>
  <c r="M11" i="6"/>
  <c r="M12" i="6"/>
  <c r="M13" i="6"/>
  <c r="L5" i="6" l="1"/>
  <c r="L6" i="6"/>
  <c r="L7" i="6"/>
  <c r="L8" i="6"/>
  <c r="L9" i="6"/>
  <c r="L10" i="6"/>
  <c r="L11" i="6"/>
  <c r="L12" i="6"/>
  <c r="L13" i="6"/>
  <c r="L4" i="6"/>
  <c r="K13" i="6"/>
  <c r="K12" i="6"/>
  <c r="K11" i="6"/>
  <c r="K10" i="6"/>
  <c r="K9" i="6"/>
  <c r="K8" i="6"/>
  <c r="K7" i="6"/>
  <c r="K6" i="6"/>
  <c r="K5" i="6"/>
  <c r="J5" i="6"/>
  <c r="J6" i="6"/>
  <c r="J7" i="6"/>
  <c r="J8" i="6"/>
  <c r="J9" i="6"/>
  <c r="J10" i="6"/>
  <c r="J11" i="6"/>
  <c r="J12" i="6"/>
  <c r="J13" i="6"/>
  <c r="J4" i="6"/>
  <c r="K4" i="6"/>
  <c r="I5" i="6" l="1"/>
  <c r="I6" i="6"/>
  <c r="I7" i="6"/>
  <c r="I8" i="6"/>
  <c r="I9" i="6"/>
  <c r="I10" i="6"/>
  <c r="I11" i="6"/>
  <c r="I12" i="6"/>
  <c r="I13" i="6"/>
  <c r="I4" i="6"/>
  <c r="R21" i="5"/>
  <c r="R20" i="5"/>
  <c r="R19" i="5"/>
  <c r="R18" i="5"/>
  <c r="R17" i="5"/>
  <c r="R9" i="5"/>
  <c r="R10" i="5"/>
  <c r="R11" i="5"/>
  <c r="R12" i="5"/>
  <c r="R13" i="5"/>
  <c r="R14" i="5"/>
  <c r="R15" i="5"/>
  <c r="R16" i="5"/>
  <c r="R8" i="5"/>
  <c r="Q8" i="5"/>
  <c r="Q9" i="5"/>
  <c r="Q10" i="5"/>
  <c r="Q11" i="5"/>
  <c r="Q12" i="5"/>
  <c r="Q13" i="5"/>
  <c r="Q14" i="5"/>
  <c r="Q15" i="5"/>
  <c r="Q16" i="5"/>
  <c r="Q7" i="5"/>
  <c r="O8" i="5"/>
  <c r="O9" i="5"/>
  <c r="O10" i="5"/>
  <c r="O11" i="5"/>
  <c r="O12" i="5"/>
  <c r="O13" i="5"/>
  <c r="O14" i="5"/>
  <c r="O15" i="5"/>
  <c r="O16" i="5"/>
  <c r="O7" i="5"/>
  <c r="N8" i="5"/>
  <c r="N9" i="5"/>
  <c r="N10" i="5"/>
  <c r="N11" i="5"/>
  <c r="N12" i="5"/>
  <c r="N13" i="5"/>
  <c r="N14" i="5"/>
  <c r="N15" i="5"/>
  <c r="N16" i="5"/>
  <c r="N7" i="5"/>
  <c r="M8" i="5"/>
  <c r="M9" i="5"/>
  <c r="M10" i="5"/>
  <c r="M11" i="5"/>
  <c r="M12" i="5"/>
  <c r="M13" i="5"/>
  <c r="M14" i="5"/>
  <c r="M15" i="5"/>
  <c r="M16" i="5"/>
  <c r="M7" i="5"/>
  <c r="L8" i="5"/>
  <c r="L9" i="5"/>
  <c r="L10" i="5"/>
  <c r="L11" i="5"/>
  <c r="L12" i="5"/>
  <c r="L13" i="5"/>
  <c r="L14" i="5"/>
  <c r="L15" i="5"/>
  <c r="L16" i="5"/>
  <c r="L7" i="5"/>
  <c r="I4" i="2"/>
  <c r="I5" i="2"/>
  <c r="I6" i="2"/>
  <c r="I7" i="2"/>
  <c r="I8" i="2"/>
  <c r="I9" i="2"/>
  <c r="I3" i="2"/>
  <c r="H4" i="2"/>
  <c r="H5" i="2"/>
  <c r="H6" i="2"/>
  <c r="H7" i="2"/>
  <c r="H8" i="2"/>
  <c r="H9" i="2"/>
  <c r="H3" i="2"/>
  <c r="G4" i="2"/>
  <c r="G5" i="2"/>
  <c r="G6" i="2"/>
  <c r="G7" i="2"/>
  <c r="G8" i="2"/>
  <c r="G9" i="2"/>
  <c r="G3" i="2"/>
  <c r="F4" i="2"/>
  <c r="F5" i="2"/>
  <c r="F6" i="2"/>
  <c r="F7" i="2"/>
  <c r="F8" i="2"/>
  <c r="F9" i="2"/>
  <c r="F3" i="2"/>
  <c r="E4" i="2"/>
  <c r="E5" i="2"/>
  <c r="E6" i="2"/>
  <c r="E7" i="2"/>
  <c r="E8" i="2"/>
  <c r="E9" i="2"/>
  <c r="E3" i="2"/>
  <c r="K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6" i="1"/>
  <c r="R7" i="5" l="1"/>
</calcChain>
</file>

<file path=xl/sharedStrings.xml><?xml version="1.0" encoding="utf-8"?>
<sst xmlns="http://schemas.openxmlformats.org/spreadsheetml/2006/main" count="784" uniqueCount="546">
  <si>
    <t>No</t>
  </si>
  <si>
    <t>Sentences Case</t>
  </si>
  <si>
    <t>Contoh</t>
  </si>
  <si>
    <t>aNdi Setiadi</t>
  </si>
  <si>
    <t>ANDI SETIADI</t>
  </si>
  <si>
    <t>andi setiadi</t>
  </si>
  <si>
    <t>Andi Setiadi</t>
  </si>
  <si>
    <t>Andi setiadi</t>
  </si>
  <si>
    <t>Andi setiadI</t>
  </si>
  <si>
    <t>sD SiNdanGgalih</t>
  </si>
  <si>
    <t>SD Sindanggalih</t>
  </si>
  <si>
    <t>andi saputra</t>
  </si>
  <si>
    <t>sD nUsAnTaRa cEmErLaNg</t>
  </si>
  <si>
    <t>bUDi sANtoSo</t>
  </si>
  <si>
    <t>SmP bInA kArYa uTaMa</t>
  </si>
  <si>
    <t>CITRA DEWI</t>
  </si>
  <si>
    <t>sMa gLoBaL pReStAsI</t>
  </si>
  <si>
    <t>dIaN prAseTyo</t>
  </si>
  <si>
    <t>Sd pElItA iNsAn mUlIa</t>
  </si>
  <si>
    <t>EKO WAHYUDI</t>
  </si>
  <si>
    <t>SmA sInAr aBuDi</t>
  </si>
  <si>
    <t>fitri anjani</t>
  </si>
  <si>
    <t>sMp tUnAs bAnGsA</t>
  </si>
  <si>
    <t>gAlIh pErMAnA</t>
  </si>
  <si>
    <t>SmA cEnDeKiA mAnDiRi</t>
  </si>
  <si>
    <t>heNdRA gUnAwAn</t>
  </si>
  <si>
    <t>sD bHaKtI pErTiWi</t>
  </si>
  <si>
    <t>indah sari</t>
  </si>
  <si>
    <t>sMp mEkAr jAyA aBaDi</t>
  </si>
  <si>
    <t>JOKO SUSILO</t>
  </si>
  <si>
    <t>SmA pUsAkA nUsAnTaRa</t>
  </si>
  <si>
    <t>KaRTiKa pUtRi</t>
  </si>
  <si>
    <t>sD cItRa hArApAn</t>
  </si>
  <si>
    <t>LESTARI AYU</t>
  </si>
  <si>
    <t>sMp aRgA sEnToSa</t>
  </si>
  <si>
    <t>muHAmMad RiZkY</t>
  </si>
  <si>
    <t>SmA bInTaNg tImUr</t>
  </si>
  <si>
    <t>NADIA KUSUMA</t>
  </si>
  <si>
    <t>sD mUtIaRa hAtI</t>
  </si>
  <si>
    <t>Lusi atMAjaya</t>
  </si>
  <si>
    <t>sMp lEnSa iLmU</t>
  </si>
  <si>
    <t>Raw Participant Name</t>
  </si>
  <si>
    <t>Capital Letters (All)</t>
  </si>
  <si>
    <t>Lowercase (All)</t>
  </si>
  <si>
    <t>Capital Letter at the beginning</t>
  </si>
  <si>
    <t>Typeface</t>
  </si>
  <si>
    <t>Capital Letters
(Initial and Final)</t>
  </si>
  <si>
    <t>Raw School Data</t>
  </si>
  <si>
    <t>School</t>
  </si>
  <si>
    <t>Mixed Letters</t>
  </si>
  <si>
    <t>Anisa Yunia</t>
  </si>
  <si>
    <t>EKOD</t>
  </si>
  <si>
    <t>Budi Susanto</t>
  </si>
  <si>
    <t>EXCA</t>
  </si>
  <si>
    <t>Rizki Soleh</t>
  </si>
  <si>
    <t>BISA</t>
  </si>
  <si>
    <t>Abdul Hadi</t>
  </si>
  <si>
    <t>EXCD</t>
  </si>
  <si>
    <t>Dewi Sandra</t>
  </si>
  <si>
    <t>EKOL</t>
  </si>
  <si>
    <t>Nina Adriana</t>
  </si>
  <si>
    <t>BISD</t>
  </si>
  <si>
    <t>Ali Akbar</t>
  </si>
  <si>
    <t>EXCL</t>
  </si>
  <si>
    <t>EKO</t>
  </si>
  <si>
    <t>BIS</t>
  </si>
  <si>
    <t>EXC</t>
  </si>
  <si>
    <t>Executive</t>
  </si>
  <si>
    <t>A</t>
  </si>
  <si>
    <t>D</t>
  </si>
  <si>
    <t>L</t>
  </si>
  <si>
    <t>Net Price</t>
  </si>
  <si>
    <t>Discount</t>
  </si>
  <si>
    <t>Ticket Price</t>
  </si>
  <si>
    <t>Ticket Type</t>
  </si>
  <si>
    <t>Class</t>
  </si>
  <si>
    <t>Ticket Code</t>
  </si>
  <si>
    <t>Passenger Name</t>
  </si>
  <si>
    <t>Departure Date</t>
  </si>
  <si>
    <t>10% discount on ticket price for departures before September 1, 2023</t>
  </si>
  <si>
    <t>Class Table</t>
  </si>
  <si>
    <t>Class Code</t>
  </si>
  <si>
    <t>Ticket Type Table</t>
  </si>
  <si>
    <t>Economics</t>
  </si>
  <si>
    <t>Business</t>
  </si>
  <si>
    <t>Children</t>
  </si>
  <si>
    <t>Adults</t>
  </si>
  <si>
    <t>Elderly</t>
  </si>
  <si>
    <t>NO</t>
  </si>
  <si>
    <t xml:space="preserve">KODE </t>
  </si>
  <si>
    <t>NAMA</t>
  </si>
  <si>
    <t>JABATAN</t>
  </si>
  <si>
    <t>STATUS</t>
  </si>
  <si>
    <t>DIVISI</t>
  </si>
  <si>
    <t xml:space="preserve">GAJI POKOK </t>
  </si>
  <si>
    <t>JMLH ANAK</t>
  </si>
  <si>
    <t>TUNJ. ANAK</t>
  </si>
  <si>
    <t>TOTAL GAJI</t>
  </si>
  <si>
    <t>C-3-M</t>
  </si>
  <si>
    <t>Agus Mulyono</t>
  </si>
  <si>
    <t>Operator</t>
  </si>
  <si>
    <t>Married</t>
  </si>
  <si>
    <t>Produksi</t>
  </si>
  <si>
    <t>A-1-M</t>
  </si>
  <si>
    <t>Dewi Anugrah</t>
  </si>
  <si>
    <t>A-2-M</t>
  </si>
  <si>
    <t>Anton Susilo</t>
  </si>
  <si>
    <t>B-1-S</t>
  </si>
  <si>
    <t>Wulan Sari</t>
  </si>
  <si>
    <t>B-3-M</t>
  </si>
  <si>
    <t>Toni Sutisna</t>
  </si>
  <si>
    <t>A-3-S</t>
  </si>
  <si>
    <t>Didik Wahyudi</t>
  </si>
  <si>
    <t>D-3-M</t>
  </si>
  <si>
    <t>Tono Hendra</t>
  </si>
  <si>
    <t>D-2-S</t>
  </si>
  <si>
    <t>Bayu Aji</t>
  </si>
  <si>
    <t>B-2-S</t>
  </si>
  <si>
    <t>C-2-M</t>
  </si>
  <si>
    <t>Ananda Putra</t>
  </si>
  <si>
    <t>C-1-M</t>
  </si>
  <si>
    <t>Rina Nurmalasari</t>
  </si>
  <si>
    <t>Total Seluruh Gaji</t>
  </si>
  <si>
    <t>Gaji Terbesar</t>
  </si>
  <si>
    <t>Gaji Terendah</t>
  </si>
  <si>
    <t>Gaji Rata-Rata</t>
  </si>
  <si>
    <t>Jumlah Pegawai</t>
  </si>
  <si>
    <t>KODE</t>
  </si>
  <si>
    <t>GAJI POKOK</t>
  </si>
  <si>
    <t>Distributor</t>
  </si>
  <si>
    <t>B</t>
  </si>
  <si>
    <t>Engineering</t>
  </si>
  <si>
    <t>C</t>
  </si>
  <si>
    <t>Quality Control</t>
  </si>
  <si>
    <t>Kepala</t>
  </si>
  <si>
    <t>Staff</t>
  </si>
  <si>
    <t>S</t>
  </si>
  <si>
    <t>M</t>
  </si>
  <si>
    <t>Single</t>
  </si>
  <si>
    <t xml:space="preserve"> </t>
  </si>
  <si>
    <t>Kode = 1</t>
  </si>
  <si>
    <t>Kode = 2</t>
  </si>
  <si>
    <t>Kode = S</t>
  </si>
  <si>
    <t>Kode = M</t>
  </si>
  <si>
    <t>Kode = 3</t>
  </si>
  <si>
    <t>Tunj. Anak</t>
  </si>
  <si>
    <t>HARGA JUAL</t>
  </si>
  <si>
    <t>HARGA JUAL : HARGA POKOK +25% HP</t>
  </si>
  <si>
    <t>DISCOUNT</t>
  </si>
  <si>
    <t>&lt; 2.000.000</t>
  </si>
  <si>
    <t>TERJUAL</t>
  </si>
  <si>
    <t>NAMA BARANG-MERK</t>
  </si>
  <si>
    <t>HARGA POKOK</t>
  </si>
  <si>
    <t>TOTAL HARGA JUAL</t>
  </si>
  <si>
    <t>BONUS</t>
  </si>
  <si>
    <t>TOTAL</t>
  </si>
  <si>
    <t>TV-99-EUR-M2</t>
  </si>
  <si>
    <t>HP-90-CAD-M1</t>
  </si>
  <si>
    <t>TV-88-USD-M4</t>
  </si>
  <si>
    <t>AC-73-EUR-M4</t>
  </si>
  <si>
    <t>KL-73-USD-M5</t>
  </si>
  <si>
    <t>LP-85-SGD-M3</t>
  </si>
  <si>
    <t>KL-93-AUD-M6</t>
  </si>
  <si>
    <t>KP-41-AUD-M5</t>
  </si>
  <si>
    <t>MC-84-EUR-M5</t>
  </si>
  <si>
    <t>TB-92-AUD-M1</t>
  </si>
  <si>
    <t>Total seluruh nilai</t>
  </si>
  <si>
    <t>Kode Barang</t>
  </si>
  <si>
    <t>Nama Barang</t>
  </si>
  <si>
    <t>Nilai terbesar</t>
  </si>
  <si>
    <t>TV</t>
  </si>
  <si>
    <t>Televisi</t>
  </si>
  <si>
    <t>💵 Rate Mata Uang</t>
  </si>
  <si>
    <t>Nilai terrendah</t>
  </si>
  <si>
    <t>KP</t>
  </si>
  <si>
    <t>Kipas</t>
  </si>
  <si>
    <t>USD</t>
  </si>
  <si>
    <t>US Dollar</t>
  </si>
  <si>
    <t>Nilai rata-rata</t>
  </si>
  <si>
    <t>KL</t>
  </si>
  <si>
    <t>Kulkas</t>
  </si>
  <si>
    <t>AUD</t>
  </si>
  <si>
    <t>Australian Dollar</t>
  </si>
  <si>
    <t>Jumlah Data Barang</t>
  </si>
  <si>
    <t>MC</t>
  </si>
  <si>
    <t>Mesin Cuci</t>
  </si>
  <si>
    <t>CAD</t>
  </si>
  <si>
    <t>Canadian Dollar</t>
  </si>
  <si>
    <t>AC</t>
  </si>
  <si>
    <t>SGD</t>
  </si>
  <si>
    <t>Singapore Dollar</t>
  </si>
  <si>
    <t>HP</t>
  </si>
  <si>
    <t>Handphone</t>
  </si>
  <si>
    <t>EUR</t>
  </si>
  <si>
    <t>Euro</t>
  </si>
  <si>
    <t>LP</t>
  </si>
  <si>
    <t>Laptop</t>
  </si>
  <si>
    <t>TB</t>
  </si>
  <si>
    <t>Tablet</t>
  </si>
  <si>
    <t>SP</t>
  </si>
  <si>
    <t>Speaker</t>
  </si>
  <si>
    <t>Kode Merek</t>
  </si>
  <si>
    <t>M1</t>
  </si>
  <si>
    <t>M2</t>
  </si>
  <si>
    <t>M3</t>
  </si>
  <si>
    <t>M4</t>
  </si>
  <si>
    <t>M5</t>
  </si>
  <si>
    <t>M6</t>
  </si>
  <si>
    <t>M7</t>
  </si>
  <si>
    <t>Merk</t>
  </si>
  <si>
    <t>Samsung</t>
  </si>
  <si>
    <t>LG</t>
  </si>
  <si>
    <t>Sony</t>
  </si>
  <si>
    <t>Panasonic</t>
  </si>
  <si>
    <t>Philips</t>
  </si>
  <si>
    <t>Sharp</t>
  </si>
  <si>
    <t>Toshiba</t>
  </si>
  <si>
    <t>≥ 8.000.000</t>
  </si>
  <si>
    <t>≥ 5.000.000</t>
  </si>
  <si>
    <t>≥ 3.000.000</t>
  </si>
  <si>
    <t>≥ 2.000.000</t>
  </si>
  <si>
    <t>≥ 10.000.000</t>
  </si>
  <si>
    <t>Nama</t>
  </si>
  <si>
    <t>GOL</t>
  </si>
  <si>
    <t>Gaji Pokok</t>
  </si>
  <si>
    <t>Status</t>
  </si>
  <si>
    <t>Jumlah Anak</t>
  </si>
  <si>
    <t>Masa Kerja (Tahun)</t>
  </si>
  <si>
    <t>Tunjangan Anak</t>
  </si>
  <si>
    <t>Tunjangan Keluarga</t>
  </si>
  <si>
    <t>Tunjangan Jabatan</t>
  </si>
  <si>
    <t>Tunjangan Transportasi</t>
  </si>
  <si>
    <t>Adinia</t>
  </si>
  <si>
    <t>Menikah</t>
  </si>
  <si>
    <t>Bella</t>
  </si>
  <si>
    <t>Cecilia</t>
  </si>
  <si>
    <t>Lajang</t>
  </si>
  <si>
    <t>Dewo</t>
  </si>
  <si>
    <t>Edo</t>
  </si>
  <si>
    <t>Fakhri</t>
  </si>
  <si>
    <t>Ginanjar</t>
  </si>
  <si>
    <t>Iddo</t>
  </si>
  <si>
    <t>Junne</t>
  </si>
  <si>
    <t>GOLONGAN</t>
  </si>
  <si>
    <t>TUNJANGAN ANAK</t>
  </si>
  <si>
    <t>TUNJANGAN KELUARGA</t>
  </si>
  <si>
    <t>MENIKAH</t>
  </si>
  <si>
    <t>SINGLE</t>
  </si>
  <si>
    <t>TUNJANGAN JABATAN</t>
  </si>
  <si>
    <t>≥ 2</t>
  </si>
  <si>
    <t>≥ 6 TAHUN</t>
  </si>
  <si>
    <t>&lt;6 TAHUN</t>
  </si>
  <si>
    <t>TUNJANGAN TRANSPORTASI</t>
  </si>
  <si>
    <t>7,5% GP</t>
  </si>
  <si>
    <t>LUAS TANAH</t>
  </si>
  <si>
    <t>BIAYA PPn</t>
  </si>
  <si>
    <t>LAMA BULAN</t>
  </si>
  <si>
    <t>UANG MUKA</t>
  </si>
  <si>
    <t>ANGSURAN PERBULAN</t>
  </si>
  <si>
    <t>BUNGA Per BULAN</t>
  </si>
  <si>
    <t>SETORAN PER BULAN</t>
  </si>
  <si>
    <t>TOTAL HARGA KREDIT</t>
  </si>
  <si>
    <t>TANGGAL MULAI</t>
  </si>
  <si>
    <t>TANGGAL BERAKHIR</t>
  </si>
  <si>
    <t>Leni</t>
  </si>
  <si>
    <t>Indri</t>
  </si>
  <si>
    <t>T</t>
  </si>
  <si>
    <t>Susi</t>
  </si>
  <si>
    <t>Hendra</t>
  </si>
  <si>
    <t>Silvia</t>
  </si>
  <si>
    <t>Lina</t>
  </si>
  <si>
    <t>Sarah</t>
  </si>
  <si>
    <t>Erdian</t>
  </si>
  <si>
    <t>Novi</t>
  </si>
  <si>
    <t>Setiadi</t>
  </si>
  <si>
    <t>Table Kredit</t>
  </si>
  <si>
    <t>Kode</t>
  </si>
  <si>
    <t>Uang Muka</t>
  </si>
  <si>
    <t>Bunga</t>
  </si>
  <si>
    <t>Table Rumah</t>
  </si>
  <si>
    <t>Luas Tanah</t>
  </si>
  <si>
    <t>Harga Jual</t>
  </si>
  <si>
    <t>Biaya PPn</t>
  </si>
  <si>
    <t>Pesanan 1</t>
  </si>
  <si>
    <t>Pesanan 2</t>
  </si>
  <si>
    <t>Pesanan Batal</t>
  </si>
  <si>
    <t>Modal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</si>
  <si>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</si>
  <si>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</si>
  <si>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</si>
  <si>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</si>
  <si>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</si>
  <si>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</si>
  <si>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</si>
  <si>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</si>
  <si>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</si>
  <si>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</si>
  <si>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</si>
  <si>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</si>
  <si>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</si>
  <si>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</si>
  <si>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Jumlah Pesanan</t>
  </si>
  <si>
    <t>Pesanan OK</t>
  </si>
  <si>
    <t>Total Harga</t>
  </si>
  <si>
    <t>% Batal</t>
  </si>
  <si>
    <t>Pajak 5%</t>
  </si>
  <si>
    <t>Pesanan 2x</t>
  </si>
  <si>
    <t>Harga Setelah Diskon 
(-25% Off)</t>
  </si>
  <si>
    <t>Total Keuntungan</t>
  </si>
  <si>
    <t>PENDIDIKAN</t>
  </si>
  <si>
    <t>NAMA PEGAWAI</t>
  </si>
  <si>
    <t>SANKSI</t>
  </si>
  <si>
    <t>DIS</t>
  </si>
  <si>
    <t>JAM</t>
  </si>
  <si>
    <t>POKOK</t>
  </si>
  <si>
    <t>TUNJANGAN</t>
  </si>
  <si>
    <t>UANG MAKAN</t>
  </si>
  <si>
    <t>S-1</t>
  </si>
  <si>
    <t>R</t>
  </si>
  <si>
    <t>T2</t>
  </si>
  <si>
    <t>D-III</t>
  </si>
  <si>
    <t>Gina Utami Andi</t>
  </si>
  <si>
    <t>N</t>
  </si>
  <si>
    <t>T5</t>
  </si>
  <si>
    <t>Agung Perkasa</t>
  </si>
  <si>
    <t>SMA</t>
  </si>
  <si>
    <t>Kaludin amat</t>
  </si>
  <si>
    <t>S-2</t>
  </si>
  <si>
    <t>Lina Syahputra Joko</t>
  </si>
  <si>
    <t>T1</t>
  </si>
  <si>
    <t>Kiki Fajar Eka</t>
  </si>
  <si>
    <t>T4</t>
  </si>
  <si>
    <t>Gina Anggraini Halim</t>
  </si>
  <si>
    <t>Wibowo Rian Hartono</t>
  </si>
  <si>
    <t>T3</t>
  </si>
  <si>
    <t>Putri Tono</t>
  </si>
  <si>
    <t>Oka Halim Syahputra</t>
  </si>
  <si>
    <t>Fajar Lina Syahputra</t>
  </si>
  <si>
    <t>Kiki Permata Eka</t>
  </si>
  <si>
    <t>Sawidi Aisah</t>
  </si>
  <si>
    <t>Oka Putri</t>
  </si>
  <si>
    <t>Rahmawati Pratama Oka</t>
  </si>
  <si>
    <t>Citra Hadi</t>
  </si>
  <si>
    <t>Umi Kiki</t>
  </si>
  <si>
    <t>Ramadhan Syahputra</t>
  </si>
  <si>
    <t>Saputra Anggraini</t>
  </si>
  <si>
    <t>Rian Anggraini Ramadhan</t>
  </si>
  <si>
    <t>Santoso Fauzan Eka</t>
  </si>
  <si>
    <t>Sari Indra Permata</t>
  </si>
  <si>
    <t>Hartono Fajar Tono</t>
  </si>
  <si>
    <t>Mira Hartono</t>
  </si>
  <si>
    <r>
      <t>GAJI (</t>
    </r>
    <r>
      <rPr>
        <b/>
        <sz val="11"/>
        <color theme="0"/>
        <rFont val="Abadi"/>
        <family val="2"/>
      </rPr>
      <t>Rp.</t>
    </r>
    <r>
      <rPr>
        <b/>
        <sz val="11"/>
        <color theme="1"/>
        <rFont val="Abadi"/>
        <family val="2"/>
      </rPr>
      <t>)</t>
    </r>
  </si>
  <si>
    <r>
      <t>TOTAL GAJI (</t>
    </r>
    <r>
      <rPr>
        <b/>
        <sz val="11"/>
        <color theme="0"/>
        <rFont val="Abadi"/>
        <family val="2"/>
      </rPr>
      <t>Rp.</t>
    </r>
    <r>
      <rPr>
        <b/>
        <sz val="11"/>
        <color theme="1"/>
        <rFont val="Abadi"/>
        <family val="2"/>
      </rPr>
      <t xml:space="preserve">) </t>
    </r>
  </si>
  <si>
    <r>
      <t>PAJAK (</t>
    </r>
    <r>
      <rPr>
        <b/>
        <sz val="11"/>
        <color theme="0"/>
        <rFont val="Abadi"/>
        <family val="2"/>
      </rPr>
      <t>%</t>
    </r>
    <r>
      <rPr>
        <b/>
        <sz val="11"/>
        <color theme="1"/>
        <rFont val="Abadi"/>
        <family val="2"/>
      </rPr>
      <t>)</t>
    </r>
  </si>
  <si>
    <r>
      <t>GAJI SETELAH PAJAK (</t>
    </r>
    <r>
      <rPr>
        <b/>
        <sz val="11"/>
        <color theme="0"/>
        <rFont val="Abadi"/>
        <family val="2"/>
      </rPr>
      <t>Rp.</t>
    </r>
    <r>
      <rPr>
        <b/>
        <sz val="11"/>
        <color theme="1"/>
        <rFont val="Abadi"/>
        <family val="2"/>
      </rPr>
      <t>)</t>
    </r>
  </si>
  <si>
    <r>
      <t>POT. DISIPLIN (</t>
    </r>
    <r>
      <rPr>
        <b/>
        <sz val="11"/>
        <color theme="0"/>
        <rFont val="Abadi"/>
        <family val="2"/>
      </rPr>
      <t>Rp.</t>
    </r>
    <r>
      <rPr>
        <b/>
        <sz val="11"/>
        <color theme="1"/>
        <rFont val="Abadi"/>
        <family val="2"/>
      </rPr>
      <t>)</t>
    </r>
  </si>
  <si>
    <r>
      <t>POT. WAKTU KERJA (</t>
    </r>
    <r>
      <rPr>
        <b/>
        <sz val="11"/>
        <color theme="0"/>
        <rFont val="Abadi"/>
        <family val="2"/>
      </rPr>
      <t>Rp.</t>
    </r>
    <r>
      <rPr>
        <b/>
        <sz val="11"/>
        <color theme="1"/>
        <rFont val="Abadi"/>
        <family val="2"/>
      </rPr>
      <t>)</t>
    </r>
  </si>
  <si>
    <r>
      <t>GAJI BERSIH (</t>
    </r>
    <r>
      <rPr>
        <b/>
        <sz val="11"/>
        <color theme="0"/>
        <rFont val="Abadi"/>
        <family val="2"/>
      </rPr>
      <t>Rp.</t>
    </r>
    <r>
      <rPr>
        <b/>
        <sz val="11"/>
        <color theme="1"/>
        <rFont val="Abadi"/>
        <family val="2"/>
      </rPr>
      <t>)</t>
    </r>
  </si>
  <si>
    <t>1 BULAN</t>
  </si>
  <si>
    <t>25 HARI KERJA</t>
  </si>
  <si>
    <t>T. POTONGAN HUKUMAN</t>
  </si>
  <si>
    <t>TABEL GAJI (Rp.)</t>
  </si>
  <si>
    <t>DISIPLIN</t>
  </si>
  <si>
    <t>KET</t>
  </si>
  <si>
    <t>POTONGAN</t>
  </si>
  <si>
    <t>UANG MAKAN / HARI</t>
  </si>
  <si>
    <t>Berat</t>
  </si>
  <si>
    <t>Sedang</t>
  </si>
  <si>
    <t>Ringan</t>
  </si>
  <si>
    <t>Nihil</t>
  </si>
  <si>
    <t>T. POTONGAN WAKTU KERJA</t>
  </si>
  <si>
    <t>TABEL PAJAK</t>
  </si>
  <si>
    <t>MENIT</t>
  </si>
  <si>
    <t>POT</t>
  </si>
  <si>
    <t>0'</t>
  </si>
  <si>
    <t>PAJAK</t>
  </si>
  <si>
    <t>1' - 60'</t>
  </si>
  <si>
    <t>61' - 120'</t>
  </si>
  <si>
    <t>121' - 240'</t>
  </si>
  <si>
    <t>241' Keatas</t>
  </si>
  <si>
    <t>Kode Surat</t>
  </si>
  <si>
    <t>Nama Peserta Raw</t>
  </si>
  <si>
    <t>Status Jenis Surat</t>
  </si>
  <si>
    <t>Tahun Surat</t>
  </si>
  <si>
    <t>Bulan Surat</t>
  </si>
  <si>
    <t>Tanggal Surat</t>
  </si>
  <si>
    <t>Tanggal</t>
  </si>
  <si>
    <t>Kode Surat Final</t>
  </si>
  <si>
    <t>Nama Peserta</t>
  </si>
  <si>
    <t>Panjang Karakter</t>
  </si>
  <si>
    <t>Inisial Nama</t>
  </si>
  <si>
    <t>Inisial &amp; Tanggal</t>
  </si>
  <si>
    <t xml:space="preserve">      S-099/2024/11/25</t>
  </si>
  <si>
    <t xml:space="preserve">    rIzKA NuGRaHa</t>
  </si>
  <si>
    <t>Segera</t>
  </si>
  <si>
    <t>2024</t>
  </si>
  <si>
    <t>11</t>
  </si>
  <si>
    <t>25</t>
  </si>
  <si>
    <t>S-099FL/2024/11/25</t>
  </si>
  <si>
    <t>Rizka Nugraha</t>
  </si>
  <si>
    <t>RN</t>
  </si>
  <si>
    <t>RN-25NOV2024</t>
  </si>
  <si>
    <t>B-001/2023/08/19</t>
  </si>
  <si>
    <t xml:space="preserve">bUDi sANtoSo   </t>
  </si>
  <si>
    <t>B-004/2024/08/22</t>
  </si>
  <si>
    <t>S-005/2024/07/23</t>
  </si>
  <si>
    <t xml:space="preserve">fiTRi aNJaNi   </t>
  </si>
  <si>
    <t>B-007/2024/08/25</t>
  </si>
  <si>
    <t xml:space="preserve">R-008/2024/08/02        </t>
  </si>
  <si>
    <t xml:space="preserve">S-009/2024/08/27     </t>
  </si>
  <si>
    <t xml:space="preserve">joKo sUSiLo   </t>
  </si>
  <si>
    <t>B-011/2025/08/29</t>
  </si>
  <si>
    <t>lEstAri AyU</t>
  </si>
  <si>
    <t xml:space="preserve">S-013/2025/08/30   </t>
  </si>
  <si>
    <t xml:space="preserve">S-014/2025/11/30   </t>
  </si>
  <si>
    <t xml:space="preserve">naDiA kUsUmA   </t>
  </si>
  <si>
    <t>NPM</t>
  </si>
  <si>
    <t>Nama Mahasiswa</t>
  </si>
  <si>
    <t>IPK</t>
  </si>
  <si>
    <t>EK20151</t>
  </si>
  <si>
    <t>Daniel Hadinata</t>
  </si>
  <si>
    <t>TS20142</t>
  </si>
  <si>
    <t>Anzy Novitaria</t>
  </si>
  <si>
    <t>HK20132</t>
  </si>
  <si>
    <t>Siska Sintya</t>
  </si>
  <si>
    <t>EK20153</t>
  </si>
  <si>
    <t>Syafira Utami</t>
  </si>
  <si>
    <t>TA20151</t>
  </si>
  <si>
    <t>Fitri Lestari</t>
  </si>
  <si>
    <t>SP20143</t>
  </si>
  <si>
    <t>Alka Cantika</t>
  </si>
  <si>
    <t>TS20153</t>
  </si>
  <si>
    <t>Kevin Wijaya</t>
  </si>
  <si>
    <t>EK20133</t>
  </si>
  <si>
    <t>Dimas Mirana</t>
  </si>
  <si>
    <t>HK20152</t>
  </si>
  <si>
    <t>Linda Fatimah</t>
  </si>
  <si>
    <t>TA20141</t>
  </si>
  <si>
    <t>Luis Hamilton</t>
  </si>
  <si>
    <t>Tabel Jurusan</t>
  </si>
  <si>
    <t>Jurusan</t>
  </si>
  <si>
    <t>EK</t>
  </si>
  <si>
    <t>Ekonomi</t>
  </si>
  <si>
    <t>HK</t>
  </si>
  <si>
    <t>Hukum</t>
  </si>
  <si>
    <t>TA</t>
  </si>
  <si>
    <t>Arsitek</t>
  </si>
  <si>
    <t>TS</t>
  </si>
  <si>
    <t>Teknik Sipil</t>
  </si>
  <si>
    <t>Sosial Politik</t>
  </si>
  <si>
    <t>Kampus Cabang</t>
  </si>
  <si>
    <t>Potongan</t>
  </si>
  <si>
    <t>Biaya Wisuda</t>
  </si>
  <si>
    <t>* Jika IPK &lt;2,5;        Tidak ada potongan ( 0%)</t>
  </si>
  <si>
    <t>* Jika Angkatan 2013, Biaya Wisuda = 5.000.000</t>
  </si>
  <si>
    <t>* Jika IPK 2,5 - 3,5 ; Potongan 5%</t>
  </si>
  <si>
    <t>* Jika Angkatan 2014, Biaya Wisuda = 6.000.000</t>
  </si>
  <si>
    <t>* Jika IPK &gt;3,5 ;       Potongan 15%</t>
  </si>
  <si>
    <t>* Jika Angkatan 2015, Biaya Wisuda = 7.000.000</t>
  </si>
  <si>
    <t>Angkatan</t>
  </si>
  <si>
    <t>Biaya Seluruhnya</t>
  </si>
  <si>
    <t>No Soal</t>
  </si>
  <si>
    <t>Area Jawaban</t>
  </si>
  <si>
    <t>Soal</t>
  </si>
  <si>
    <t>1 →</t>
  </si>
  <si>
    <t>2 →</t>
  </si>
  <si>
    <t>3 →</t>
  </si>
  <si>
    <t>4 →</t>
  </si>
  <si>
    <t>5 →</t>
  </si>
  <si>
    <t>6 →</t>
  </si>
  <si>
    <t>7 →</t>
  </si>
  <si>
    <t>8 →</t>
  </si>
  <si>
    <t>9 →</t>
  </si>
  <si>
    <t>10 →</t>
  </si>
  <si>
    <t>11 →</t>
  </si>
  <si>
    <t>12 →</t>
  </si>
  <si>
    <t>13 →</t>
  </si>
  <si>
    <t>14 →</t>
  </si>
  <si>
    <t>15 →</t>
  </si>
  <si>
    <t>16 →</t>
  </si>
  <si>
    <t>17 →</t>
  </si>
  <si>
    <t>18 →</t>
  </si>
  <si>
    <t>19 →</t>
  </si>
  <si>
    <t>20 →</t>
  </si>
  <si>
    <t>Contoh A</t>
  </si>
  <si>
    <t>Jumlah →</t>
  </si>
  <si>
    <t>Contoh B</t>
  </si>
  <si>
    <t>Kurang →</t>
  </si>
  <si>
    <t>Kali →</t>
  </si>
  <si>
    <t>Bagi →</t>
  </si>
  <si>
    <t>NO.</t>
  </si>
  <si>
    <t>TANGGAL</t>
  </si>
  <si>
    <t>KODE PELANGGAN</t>
  </si>
  <si>
    <t>NAMA PELANGGAN</t>
  </si>
  <si>
    <t>KODE PRODUK</t>
  </si>
  <si>
    <t>NAMA PRODUK</t>
  </si>
  <si>
    <t>QTY</t>
  </si>
  <si>
    <t>HARGA SATUAN</t>
  </si>
  <si>
    <t>TOTAL PENJUALAN</t>
  </si>
  <si>
    <t>DISKON</t>
  </si>
  <si>
    <t>PENJUALAN BERSIH</t>
  </si>
  <si>
    <t>1-Nov</t>
  </si>
  <si>
    <t>BK-02</t>
  </si>
  <si>
    <t>Toko Beni Kusuma</t>
  </si>
  <si>
    <t>B-10</t>
  </si>
  <si>
    <t>Besi 10 Meter</t>
  </si>
  <si>
    <t>Kode Pelanggan</t>
  </si>
  <si>
    <t>AB-01</t>
  </si>
  <si>
    <t>B-05</t>
  </si>
  <si>
    <t>Toko Ahmad Budiman</t>
  </si>
  <si>
    <t>CJ-03</t>
  </si>
  <si>
    <t>P-05</t>
  </si>
  <si>
    <t>2-Nov</t>
  </si>
  <si>
    <t>P-10</t>
  </si>
  <si>
    <t>Toko Chris John</t>
  </si>
  <si>
    <t>Kode Produk</t>
  </si>
  <si>
    <t>Besi 5 Meter</t>
  </si>
  <si>
    <t>Pipa 5 Meter</t>
  </si>
  <si>
    <t>Pipa 10 Meter</t>
  </si>
  <si>
    <t>3-Nov</t>
  </si>
  <si>
    <t>Total QTY</t>
  </si>
  <si>
    <t>Total Penjualan Bersih</t>
  </si>
  <si>
    <t>Rata-rata QTY</t>
  </si>
  <si>
    <t>Rata-rata Penjualan Bersih</t>
  </si>
  <si>
    <r>
      <t xml:space="preserve">* Jika karakter ke - 7 NPM = 1, Maka Cabang  </t>
    </r>
    <r>
      <rPr>
        <b/>
        <sz val="11"/>
        <color theme="1"/>
        <rFont val="Abadi"/>
        <family val="2"/>
      </rPr>
      <t>Bekasi</t>
    </r>
  </si>
  <si>
    <r>
      <t xml:space="preserve">* Jika karakter ke - 7 NPM = 2, Maka Cabang  </t>
    </r>
    <r>
      <rPr>
        <b/>
        <sz val="11"/>
        <color theme="1"/>
        <rFont val="Abadi"/>
        <family val="2"/>
      </rPr>
      <t>Depok</t>
    </r>
  </si>
  <si>
    <r>
      <t xml:space="preserve">* Jika karakter ke - 7 NPM = 3, Maka Cabang  </t>
    </r>
    <r>
      <rPr>
        <b/>
        <sz val="11"/>
        <color theme="1"/>
        <rFont val="Abadi"/>
        <family val="2"/>
      </rPr>
      <t>Bogor</t>
    </r>
  </si>
  <si>
    <t>TWS</t>
  </si>
  <si>
    <t>≥ 500.000</t>
  </si>
  <si>
    <t>Power Bank</t>
  </si>
  <si>
    <t>Voucher</t>
  </si>
  <si>
    <t>&lt; 500.000</t>
  </si>
  <si>
    <t xml:space="preserve">R-002/2023/04/20    </t>
  </si>
  <si>
    <t xml:space="preserve">B-003/2024/08/21    </t>
  </si>
  <si>
    <t>B-006/2024/08/24</t>
  </si>
  <si>
    <t>B-010/2025/06/28</t>
  </si>
  <si>
    <t xml:space="preserve">R-012/2025/08/29  </t>
  </si>
  <si>
    <t>aNdi sApUtRa</t>
  </si>
  <si>
    <t xml:space="preserve">CiTra dEwi   </t>
  </si>
  <si>
    <t>ekO waHyUdi</t>
  </si>
  <si>
    <t xml:space="preserve">gAlIh pErMAnA   </t>
  </si>
  <si>
    <t>iNdAh sARi</t>
  </si>
  <si>
    <t xml:space="preserve">KaRTiKa pUtRi   </t>
  </si>
  <si>
    <t xml:space="preserve">muHAmMad RiZkY   </t>
  </si>
  <si>
    <t>Biasa</t>
  </si>
  <si>
    <t>Rahasia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</si>
</sst>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#,##0;\(#,##0\);\-"/>
    <numFmt numFmtId="165" formatCode="_-* #,##0_-;\-* #,##0_-;_-* &quot;-&quot;??_-;_-@_-"/>
    <numFmt numFmtId="166" formatCode="mm/dd/yyyy"/>
    <numFmt numFmtId="167" formatCode="_-[$Rp-3809]* #,##0.00_-;\-[$Rp-3809]* #,##0.00_-;_-[$Rp-3809]* &quot;-&quot;??_-;_-@_-"/>
    <numFmt numFmtId="168" formatCode="_-[$Rp-421]* #,##0_-;\-[$Rp-421]* #,##0_-;_-[$Rp-421]* &quot;-&quot;??_-;_-@_-"/>
    <numFmt numFmtId="169" formatCode="_-[$Rp-3809]* #,##0_-;\-[$Rp-3809]* #,##0_-;_-[$Rp-3809]* &quot;-&quot;??_-;_-@_-"/>
    <numFmt numFmtId="170" formatCode="_(* #,##0_);_(* \(#,##0\);_(* &quot;-&quot;??_);_(@_)"/>
    <numFmt numFmtId="171" formatCode="0\ &quot;m&quot;"/>
    <numFmt numFmtId="172" formatCode="_-[$Rp-421]* #,##0_-;\-[$Rp-421]* #,##0_-;_-[$Rp-421]* &quot;-&quot;_-;_-@_-"/>
    <numFmt numFmtId="173" formatCode="dd\-mmm\-yyyy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b/>
      <sz val="12"/>
      <color theme="0"/>
      <name val="Abadi"/>
      <family val="2"/>
    </font>
    <font>
      <b/>
      <sz val="11"/>
      <color theme="0"/>
      <name val="Abadi"/>
      <family val="2"/>
    </font>
    <font>
      <b/>
      <sz val="11"/>
      <color theme="1"/>
      <name val="Abadi"/>
      <family val="2"/>
    </font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  <font>
      <u/>
      <sz val="11"/>
      <color theme="10"/>
      <name val="Aptos Narrow"/>
      <family val="2"/>
      <scheme val="minor"/>
    </font>
    <font>
      <sz val="11"/>
      <color rgb="FF002060"/>
      <name val="Abadi"/>
      <family val="2"/>
    </font>
    <font>
      <u/>
      <sz val="11"/>
      <color theme="10"/>
      <name val="Abadi"/>
      <family val="2"/>
    </font>
    <font>
      <i/>
      <sz val="11"/>
      <color theme="1"/>
      <name val="Abadi"/>
      <family val="2"/>
    </font>
    <font>
      <b/>
      <sz val="11"/>
      <color theme="0"/>
      <name val="Aptos Narrow"/>
      <family val="2"/>
      <scheme val="minor"/>
    </font>
    <font>
      <b/>
      <sz val="10"/>
      <name val="Abadi"/>
      <family val="2"/>
    </font>
    <font>
      <sz val="10"/>
      <name val="Abadi"/>
      <family val="2"/>
    </font>
    <font>
      <sz val="12"/>
      <color theme="1"/>
      <name val="Abadi"/>
      <family val="2"/>
    </font>
    <font>
      <sz val="11"/>
      <name val="Abadi"/>
      <family val="2"/>
    </font>
    <font>
      <b/>
      <sz val="11"/>
      <name val="Abadi"/>
      <family val="2"/>
    </font>
    <font>
      <b/>
      <sz val="20"/>
      <color theme="4" tint="-0.499984740745262"/>
      <name val="Abadi"/>
      <family val="2"/>
    </font>
    <font>
      <sz val="9"/>
      <color rgb="FFFFC000"/>
      <name val="Abadi"/>
      <family val="2"/>
    </font>
    <font>
      <sz val="9"/>
      <color theme="5"/>
      <name val="Aptos Narrow"/>
      <family val="2"/>
      <scheme val="minor"/>
    </font>
    <font>
      <sz val="11"/>
      <color theme="0"/>
      <name val="Abadi"/>
      <family val="2"/>
    </font>
    <font>
      <b/>
      <sz val="10"/>
      <color theme="1"/>
      <name val="Abadi"/>
      <family val="2"/>
    </font>
    <font>
      <sz val="10"/>
      <color theme="1"/>
      <name val="Abadi"/>
      <family val="2"/>
    </font>
    <font>
      <b/>
      <sz val="12"/>
      <color theme="1"/>
      <name val="Abadi"/>
      <family val="2"/>
    </font>
    <font>
      <sz val="11"/>
      <color theme="0"/>
      <name val="Yu Gothic UI Semibold"/>
      <family val="2"/>
    </font>
    <font>
      <b/>
      <sz val="11"/>
      <color rgb="FF0070C0"/>
      <name val="Aptos Narrow"/>
      <family val="2"/>
      <scheme val="minor"/>
    </font>
    <font>
      <b/>
      <sz val="11"/>
      <color theme="5"/>
      <name val="Abadi"/>
      <family val="2"/>
    </font>
    <font>
      <sz val="10"/>
      <color rgb="FF000000"/>
      <name val="Aptos Narrow"/>
      <family val="2"/>
      <scheme val="minor"/>
    </font>
    <font>
      <sz val="10"/>
      <color rgb="FF000000"/>
      <name val="Abadi"/>
      <family val="2"/>
    </font>
    <font>
      <b/>
      <i/>
      <sz val="10"/>
      <color theme="1"/>
      <name val="Abadi"/>
      <family val="2"/>
    </font>
    <font>
      <b/>
      <i/>
      <sz val="10"/>
      <color rgb="FF000000"/>
      <name val="Abadi"/>
      <family val="2"/>
    </font>
    <font>
      <b/>
      <sz val="10"/>
      <color rgb="FF000000"/>
      <name val="Abadi"/>
      <family val="2"/>
    </font>
    <font>
      <sz val="9"/>
      <color theme="1"/>
      <name val="Abadi"/>
      <family val="2"/>
    </font>
    <font>
      <b/>
      <sz val="11"/>
      <color theme="1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A90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rgb="FFD0E0E3"/>
      </patternFill>
    </fill>
    <fill>
      <patternFill patternType="solid">
        <fgColor theme="9" tint="0.79998168889431442"/>
        <bgColor rgb="FFF4CCCC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6" tint="-0.2499465926084170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/>
      </right>
      <top/>
      <bottom/>
      <diagonal/>
    </border>
  </borders>
  <cellStyleXfs count="11">
    <xf numFmtId="0" fontId="0" fillId="0" borderId="0"/>
    <xf numFmtId="0" fontId="6" fillId="0" borderId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</cellStyleXfs>
  <cellXfs count="238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indent="1"/>
    </xf>
    <xf numFmtId="0" fontId="2" fillId="4" borderId="5" xfId="0" applyFont="1" applyFill="1" applyBorder="1" applyAlignment="1">
      <alignment horizontal="left" vertical="center" indent="1"/>
    </xf>
    <xf numFmtId="0" fontId="2" fillId="5" borderId="2" xfId="0" applyFont="1" applyFill="1" applyBorder="1" applyAlignment="1">
      <alignment horizontal="left" indent="1"/>
    </xf>
    <xf numFmtId="0" fontId="2" fillId="4" borderId="2" xfId="0" applyFont="1" applyFill="1" applyBorder="1" applyAlignment="1">
      <alignment horizontal="left" indent="1"/>
    </xf>
    <xf numFmtId="0" fontId="2" fillId="6" borderId="0" xfId="0" applyFont="1" applyFill="1"/>
    <xf numFmtId="0" fontId="2" fillId="6" borderId="2" xfId="0" applyFont="1" applyFill="1" applyBorder="1" applyAlignment="1">
      <alignment horizontal="left" indent="1"/>
    </xf>
    <xf numFmtId="0" fontId="2" fillId="4" borderId="2" xfId="0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66" fontId="2" fillId="4" borderId="2" xfId="1" applyNumberFormat="1" applyFont="1" applyFill="1" applyBorder="1" applyAlignment="1">
      <alignment horizontal="center"/>
    </xf>
    <xf numFmtId="0" fontId="2" fillId="4" borderId="2" xfId="1" applyFont="1" applyFill="1" applyBorder="1" applyAlignment="1">
      <alignment horizontal="left" indent="1"/>
    </xf>
    <xf numFmtId="0" fontId="2" fillId="5" borderId="2" xfId="1" applyFont="1" applyFill="1" applyBorder="1" applyAlignment="1">
      <alignment horizontal="left" indent="1"/>
    </xf>
    <xf numFmtId="167" fontId="2" fillId="5" borderId="2" xfId="2" applyNumberFormat="1" applyFont="1" applyFill="1" applyBorder="1"/>
    <xf numFmtId="167" fontId="5" fillId="5" borderId="2" xfId="2" applyNumberFormat="1" applyFont="1" applyFill="1" applyBorder="1"/>
    <xf numFmtId="0" fontId="2" fillId="0" borderId="0" xfId="1" applyFont="1"/>
    <xf numFmtId="166" fontId="2" fillId="4" borderId="7" xfId="1" applyNumberFormat="1" applyFont="1" applyFill="1" applyBorder="1" applyAlignment="1">
      <alignment horizontal="center"/>
    </xf>
    <xf numFmtId="0" fontId="2" fillId="4" borderId="7" xfId="1" applyFont="1" applyFill="1" applyBorder="1" applyAlignment="1">
      <alignment horizontal="left" indent="1"/>
    </xf>
    <xf numFmtId="0" fontId="9" fillId="0" borderId="0" xfId="1" applyFont="1"/>
    <xf numFmtId="0" fontId="5" fillId="8" borderId="6" xfId="1" applyFont="1" applyFill="1" applyBorder="1"/>
    <xf numFmtId="0" fontId="2" fillId="9" borderId="6" xfId="1" applyFont="1" applyFill="1" applyBorder="1"/>
    <xf numFmtId="0" fontId="5" fillId="8" borderId="6" xfId="1" applyFont="1" applyFill="1" applyBorder="1" applyAlignment="1">
      <alignment horizontal="center"/>
    </xf>
    <xf numFmtId="0" fontId="2" fillId="9" borderId="6" xfId="1" applyFont="1" applyFill="1" applyBorder="1" applyAlignment="1">
      <alignment horizontal="center"/>
    </xf>
    <xf numFmtId="165" fontId="2" fillId="9" borderId="6" xfId="2" applyNumberFormat="1" applyFont="1" applyFill="1" applyBorder="1"/>
    <xf numFmtId="0" fontId="10" fillId="0" borderId="0" xfId="3" applyFont="1"/>
    <xf numFmtId="0" fontId="11" fillId="0" borderId="0" xfId="1" applyFont="1"/>
    <xf numFmtId="0" fontId="13" fillId="7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 indent="2"/>
    </xf>
    <xf numFmtId="168" fontId="2" fillId="5" borderId="2" xfId="0" applyNumberFormat="1" applyFont="1" applyFill="1" applyBorder="1" applyAlignment="1">
      <alignment horizontal="center"/>
    </xf>
    <xf numFmtId="169" fontId="2" fillId="5" borderId="2" xfId="0" applyNumberFormat="1" applyFont="1" applyFill="1" applyBorder="1" applyAlignment="1">
      <alignment horizontal="center"/>
    </xf>
    <xf numFmtId="0" fontId="13" fillId="10" borderId="5" xfId="0" applyFont="1" applyFill="1" applyBorder="1" applyAlignment="1">
      <alignment horizontal="left" vertical="center" indent="3"/>
    </xf>
    <xf numFmtId="0" fontId="13" fillId="10" borderId="8" xfId="0" applyFont="1" applyFill="1" applyBorder="1"/>
    <xf numFmtId="0" fontId="13" fillId="11" borderId="5" xfId="0" applyFont="1" applyFill="1" applyBorder="1" applyAlignment="1">
      <alignment horizontal="left" vertical="center" indent="3"/>
    </xf>
    <xf numFmtId="168" fontId="14" fillId="5" borderId="2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right" indent="1"/>
    </xf>
    <xf numFmtId="3" fontId="2" fillId="0" borderId="0" xfId="0" applyNumberFormat="1" applyFont="1"/>
    <xf numFmtId="0" fontId="13" fillId="12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/>
    </xf>
    <xf numFmtId="0" fontId="2" fillId="9" borderId="9" xfId="0" applyFont="1" applyFill="1" applyBorder="1"/>
    <xf numFmtId="168" fontId="2" fillId="9" borderId="9" xfId="0" applyNumberFormat="1" applyFont="1" applyFill="1" applyBorder="1"/>
    <xf numFmtId="0" fontId="2" fillId="13" borderId="0" xfId="0" applyFont="1" applyFill="1" applyAlignment="1">
      <alignment horizontal="center"/>
    </xf>
    <xf numFmtId="3" fontId="2" fillId="14" borderId="0" xfId="0" applyNumberFormat="1" applyFont="1" applyFill="1" applyAlignment="1">
      <alignment horizontal="center"/>
    </xf>
    <xf numFmtId="9" fontId="2" fillId="0" borderId="0" xfId="0" applyNumberFormat="1" applyFont="1"/>
    <xf numFmtId="170" fontId="2" fillId="5" borderId="2" xfId="0" applyNumberFormat="1" applyFont="1" applyFill="1" applyBorder="1" applyAlignment="1">
      <alignment horizontal="center"/>
    </xf>
    <xf numFmtId="3" fontId="2" fillId="5" borderId="2" xfId="0" applyNumberFormat="1" applyFont="1" applyFill="1" applyBorder="1" applyAlignment="1">
      <alignment horizontal="center"/>
    </xf>
    <xf numFmtId="0" fontId="2" fillId="0" borderId="10" xfId="0" applyFont="1" applyBorder="1"/>
    <xf numFmtId="0" fontId="13" fillId="0" borderId="10" xfId="0" applyFont="1" applyBorder="1"/>
    <xf numFmtId="169" fontId="13" fillId="5" borderId="2" xfId="0" applyNumberFormat="1" applyFont="1" applyFill="1" applyBorder="1" applyAlignment="1">
      <alignment horizontal="center"/>
    </xf>
    <xf numFmtId="0" fontId="13" fillId="16" borderId="6" xfId="0" applyFont="1" applyFill="1" applyBorder="1" applyAlignment="1">
      <alignment horizontal="center"/>
    </xf>
    <xf numFmtId="0" fontId="13" fillId="0" borderId="0" xfId="0" applyFont="1"/>
    <xf numFmtId="0" fontId="2" fillId="17" borderId="6" xfId="0" applyFont="1" applyFill="1" applyBorder="1" applyAlignment="1">
      <alignment horizontal="center"/>
    </xf>
    <xf numFmtId="0" fontId="2" fillId="17" borderId="6" xfId="0" applyFont="1" applyFill="1" applyBorder="1"/>
    <xf numFmtId="0" fontId="2" fillId="11" borderId="11" xfId="0" applyFont="1" applyFill="1" applyBorder="1"/>
    <xf numFmtId="0" fontId="5" fillId="4" borderId="12" xfId="0" applyFont="1" applyFill="1" applyBorder="1"/>
    <xf numFmtId="0" fontId="2" fillId="4" borderId="13" xfId="0" applyFont="1" applyFill="1" applyBorder="1" applyAlignment="1">
      <alignment vertical="center" wrapText="1"/>
    </xf>
    <xf numFmtId="167" fontId="5" fillId="4" borderId="14" xfId="0" applyNumberFormat="1" applyFont="1" applyFill="1" applyBorder="1"/>
    <xf numFmtId="0" fontId="5" fillId="4" borderId="15" xfId="0" applyFont="1" applyFill="1" applyBorder="1"/>
    <xf numFmtId="0" fontId="2" fillId="4" borderId="0" xfId="0" applyFont="1" applyFill="1" applyAlignment="1">
      <alignment vertical="center" wrapText="1"/>
    </xf>
    <xf numFmtId="167" fontId="5" fillId="4" borderId="16" xfId="0" applyNumberFormat="1" applyFont="1" applyFill="1" applyBorder="1"/>
    <xf numFmtId="0" fontId="13" fillId="5" borderId="2" xfId="0" applyFont="1" applyFill="1" applyBorder="1" applyAlignment="1">
      <alignment horizontal="center"/>
    </xf>
    <xf numFmtId="0" fontId="5" fillId="4" borderId="17" xfId="0" applyFont="1" applyFill="1" applyBorder="1"/>
    <xf numFmtId="0" fontId="2" fillId="4" borderId="18" xfId="0" applyFont="1" applyFill="1" applyBorder="1" applyAlignment="1">
      <alignment vertical="center" wrapText="1"/>
    </xf>
    <xf numFmtId="167" fontId="5" fillId="4" borderId="19" xfId="0" applyNumberFormat="1" applyFont="1" applyFill="1" applyBorder="1"/>
    <xf numFmtId="0" fontId="2" fillId="17" borderId="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/>
    </xf>
    <xf numFmtId="0" fontId="13" fillId="7" borderId="2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left" indent="1"/>
    </xf>
    <xf numFmtId="0" fontId="2" fillId="4" borderId="10" xfId="0" applyFont="1" applyFill="1" applyBorder="1" applyAlignment="1">
      <alignment horizontal="left" indent="1"/>
    </xf>
    <xf numFmtId="3" fontId="2" fillId="4" borderId="8" xfId="0" applyNumberFormat="1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/>
    </xf>
    <xf numFmtId="0" fontId="17" fillId="4" borderId="2" xfId="0" applyFont="1" applyFill="1" applyBorder="1" applyAlignment="1">
      <alignment horizontal="left" indent="1"/>
    </xf>
    <xf numFmtId="0" fontId="15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right"/>
    </xf>
    <xf numFmtId="0" fontId="15" fillId="7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left"/>
    </xf>
    <xf numFmtId="41" fontId="15" fillId="5" borderId="2" xfId="7" applyFont="1" applyFill="1" applyBorder="1" applyAlignment="1">
      <alignment horizontal="center"/>
    </xf>
    <xf numFmtId="41" fontId="15" fillId="5" borderId="2" xfId="7" applyFont="1" applyFill="1" applyBorder="1"/>
    <xf numFmtId="0" fontId="2" fillId="7" borderId="0" xfId="0" applyFont="1" applyFill="1"/>
    <xf numFmtId="0" fontId="15" fillId="7" borderId="26" xfId="0" applyFont="1" applyFill="1" applyBorder="1" applyAlignment="1">
      <alignment horizontal="left" vertical="center"/>
    </xf>
    <xf numFmtId="10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0" fillId="0" borderId="0" xfId="0" applyFont="1"/>
    <xf numFmtId="0" fontId="2" fillId="7" borderId="2" xfId="0" applyFont="1" applyFill="1" applyBorder="1" applyAlignment="1">
      <alignment horizontal="center" vertical="center" wrapText="1"/>
    </xf>
    <xf numFmtId="171" fontId="2" fillId="5" borderId="2" xfId="0" applyNumberFormat="1" applyFont="1" applyFill="1" applyBorder="1"/>
    <xf numFmtId="169" fontId="2" fillId="5" borderId="2" xfId="0" applyNumberFormat="1" applyFont="1" applyFill="1" applyBorder="1"/>
    <xf numFmtId="0" fontId="2" fillId="4" borderId="2" xfId="0" applyFont="1" applyFill="1" applyBorder="1"/>
    <xf numFmtId="14" fontId="2" fillId="4" borderId="2" xfId="0" applyNumberFormat="1" applyFont="1" applyFill="1" applyBorder="1"/>
    <xf numFmtId="14" fontId="2" fillId="5" borderId="2" xfId="0" applyNumberFormat="1" applyFont="1" applyFill="1" applyBorder="1"/>
    <xf numFmtId="0" fontId="2" fillId="4" borderId="0" xfId="0" applyFont="1" applyFill="1" applyAlignment="1">
      <alignment horizontal="left" indent="1"/>
    </xf>
    <xf numFmtId="0" fontId="21" fillId="1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10" fontId="2" fillId="9" borderId="0" xfId="0" applyNumberFormat="1" applyFont="1" applyFill="1"/>
    <xf numFmtId="171" fontId="2" fillId="9" borderId="0" xfId="0" applyNumberFormat="1" applyFont="1" applyFill="1" applyAlignment="1">
      <alignment horizontal="right"/>
    </xf>
    <xf numFmtId="169" fontId="2" fillId="9" borderId="0" xfId="0" applyNumberFormat="1" applyFont="1" applyFill="1"/>
    <xf numFmtId="0" fontId="4" fillId="3" borderId="3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172" fontId="2" fillId="4" borderId="22" xfId="6" applyNumberFormat="1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right" indent="2"/>
    </xf>
    <xf numFmtId="172" fontId="2" fillId="5" borderId="22" xfId="0" applyNumberFormat="1" applyFont="1" applyFill="1" applyBorder="1" applyAlignment="1">
      <alignment horizontal="right" indent="2"/>
    </xf>
    <xf numFmtId="10" fontId="2" fillId="5" borderId="22" xfId="8" applyNumberFormat="1" applyFont="1" applyFill="1" applyBorder="1" applyAlignment="1">
      <alignment horizontal="right" indent="2"/>
    </xf>
    <xf numFmtId="170" fontId="2" fillId="5" borderId="22" xfId="6" applyNumberFormat="1" applyFont="1" applyFill="1" applyBorder="1"/>
    <xf numFmtId="170" fontId="2" fillId="5" borderId="24" xfId="0" applyNumberFormat="1" applyFont="1" applyFill="1" applyBorder="1"/>
    <xf numFmtId="0" fontId="2" fillId="4" borderId="20" xfId="0" applyFont="1" applyFill="1" applyBorder="1" applyAlignment="1">
      <alignment horizontal="center" vertical="center"/>
    </xf>
    <xf numFmtId="172" fontId="2" fillId="4" borderId="2" xfId="6" applyNumberFormat="1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2" fontId="2" fillId="4" borderId="3" xfId="6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/>
    </xf>
    <xf numFmtId="0" fontId="23" fillId="4" borderId="2" xfId="0" applyFont="1" applyFill="1" applyBorder="1" applyAlignment="1">
      <alignment horizontal="left" indent="1"/>
    </xf>
    <xf numFmtId="172" fontId="23" fillId="5" borderId="2" xfId="0" applyNumberFormat="1" applyFont="1" applyFill="1" applyBorder="1" applyAlignment="1">
      <alignment horizontal="right" vertical="center" wrapText="1" indent="1"/>
    </xf>
    <xf numFmtId="9" fontId="23" fillId="5" borderId="2" xfId="0" applyNumberFormat="1" applyFont="1" applyFill="1" applyBorder="1" applyAlignment="1">
      <alignment horizontal="center" vertical="center" wrapText="1"/>
    </xf>
    <xf numFmtId="172" fontId="14" fillId="5" borderId="2" xfId="0" quotePrefix="1" applyNumberFormat="1" applyFont="1" applyFill="1" applyBorder="1" applyAlignment="1">
      <alignment horizontal="right" vertical="center" wrapText="1" indent="1"/>
    </xf>
    <xf numFmtId="0" fontId="23" fillId="4" borderId="2" xfId="0" applyFont="1" applyFill="1" applyBorder="1" applyAlignment="1">
      <alignment horizontal="center" vertical="center"/>
    </xf>
    <xf numFmtId="0" fontId="5" fillId="11" borderId="10" xfId="0" applyFont="1" applyFill="1" applyBorder="1"/>
    <xf numFmtId="172" fontId="23" fillId="19" borderId="2" xfId="0" applyNumberFormat="1" applyFont="1" applyFill="1" applyBorder="1" applyAlignment="1">
      <alignment horizontal="right" vertical="center" wrapText="1" indent="1"/>
    </xf>
    <xf numFmtId="0" fontId="0" fillId="12" borderId="0" xfId="0" applyFill="1"/>
    <xf numFmtId="9" fontId="15" fillId="0" borderId="30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3" fontId="15" fillId="0" borderId="6" xfId="0" applyNumberFormat="1" applyFont="1" applyBorder="1" applyAlignment="1">
      <alignment horizontal="center"/>
    </xf>
    <xf numFmtId="9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4" fillId="19" borderId="6" xfId="0" applyFont="1" applyFill="1" applyBorder="1" applyAlignment="1">
      <alignment horizontal="center"/>
    </xf>
    <xf numFmtId="9" fontId="15" fillId="0" borderId="6" xfId="0" applyNumberFormat="1" applyFont="1" applyBorder="1" applyAlignment="1">
      <alignment horizontal="center" vertical="center" wrapText="1"/>
    </xf>
    <xf numFmtId="0" fontId="15" fillId="0" borderId="0" xfId="0" applyFont="1"/>
    <xf numFmtId="0" fontId="24" fillId="11" borderId="6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/>
    </xf>
    <xf numFmtId="0" fontId="24" fillId="20" borderId="6" xfId="0" applyFont="1" applyFill="1" applyBorder="1" applyAlignment="1">
      <alignment horizontal="center" vertical="center"/>
    </xf>
    <xf numFmtId="0" fontId="24" fillId="19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indent="1"/>
    </xf>
    <xf numFmtId="173" fontId="2" fillId="5" borderId="2" xfId="0" applyNumberFormat="1" applyFont="1" applyFill="1" applyBorder="1" applyAlignment="1">
      <alignment horizontal="right" indent="2"/>
    </xf>
    <xf numFmtId="170" fontId="2" fillId="5" borderId="2" xfId="6" applyNumberFormat="1" applyFont="1" applyFill="1" applyBorder="1"/>
    <xf numFmtId="170" fontId="2" fillId="5" borderId="2" xfId="0" applyNumberFormat="1" applyFont="1" applyFill="1" applyBorder="1"/>
    <xf numFmtId="0" fontId="4" fillId="1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5" fillId="22" borderId="33" xfId="0" applyFont="1" applyFill="1" applyBorder="1" applyAlignment="1">
      <alignment horizontal="center"/>
    </xf>
    <xf numFmtId="0" fontId="26" fillId="0" borderId="0" xfId="0" applyFont="1" applyAlignment="1">
      <alignment horizontal="center" vertical="top"/>
    </xf>
    <xf numFmtId="0" fontId="0" fillId="4" borderId="33" xfId="0" applyFill="1" applyBorder="1" applyAlignment="1">
      <alignment horizontal="center"/>
    </xf>
    <xf numFmtId="0" fontId="0" fillId="4" borderId="33" xfId="0" applyFill="1" applyBorder="1" applyAlignment="1">
      <alignment horizontal="left" indent="2"/>
    </xf>
    <xf numFmtId="0" fontId="26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 indent="2"/>
    </xf>
    <xf numFmtId="2" fontId="2" fillId="4" borderId="2" xfId="0" applyNumberFormat="1" applyFont="1" applyFill="1" applyBorder="1" applyAlignment="1">
      <alignment horizontal="center" vertical="center"/>
    </xf>
    <xf numFmtId="10" fontId="16" fillId="5" borderId="2" xfId="8" applyNumberFormat="1" applyFont="1" applyFill="1" applyBorder="1" applyAlignment="1">
      <alignment horizontal="right" vertical="center" indent="2"/>
    </xf>
    <xf numFmtId="167" fontId="16" fillId="5" borderId="2" xfId="6" applyNumberFormat="1" applyFont="1" applyFill="1" applyBorder="1" applyAlignment="1">
      <alignment horizontal="left" vertical="center" indent="1"/>
    </xf>
    <xf numFmtId="167" fontId="16" fillId="5" borderId="2" xfId="0" applyNumberFormat="1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9" fillId="0" borderId="0" xfId="9" applyFont="1"/>
    <xf numFmtId="164" fontId="3" fillId="2" borderId="1" xfId="9" applyNumberFormat="1" applyFont="1" applyFill="1" applyBorder="1" applyAlignment="1">
      <alignment horizontal="center" vertical="center"/>
    </xf>
    <xf numFmtId="0" fontId="22" fillId="25" borderId="2" xfId="9" applyFont="1" applyFill="1" applyBorder="1" applyAlignment="1">
      <alignment horizontal="center" vertical="center"/>
    </xf>
    <xf numFmtId="0" fontId="22" fillId="0" borderId="0" xfId="9" applyFont="1" applyAlignment="1">
      <alignment horizontal="center"/>
    </xf>
    <xf numFmtId="0" fontId="14" fillId="0" borderId="0" xfId="9" applyFont="1"/>
    <xf numFmtId="0" fontId="23" fillId="4" borderId="3" xfId="9" applyFont="1" applyFill="1" applyBorder="1" applyAlignment="1">
      <alignment horizontal="center"/>
    </xf>
    <xf numFmtId="0" fontId="23" fillId="26" borderId="3" xfId="9" applyFont="1" applyFill="1" applyBorder="1" applyAlignment="1">
      <alignment horizontal="left" indent="1"/>
    </xf>
    <xf numFmtId="0" fontId="23" fillId="4" borderId="3" xfId="9" applyFont="1" applyFill="1" applyBorder="1" applyAlignment="1">
      <alignment horizontal="right"/>
    </xf>
    <xf numFmtId="42" fontId="23" fillId="26" borderId="3" xfId="9" applyNumberFormat="1" applyFont="1" applyFill="1" applyBorder="1"/>
    <xf numFmtId="9" fontId="23" fillId="26" borderId="3" xfId="10" applyFont="1" applyFill="1" applyBorder="1"/>
    <xf numFmtId="0" fontId="30" fillId="0" borderId="0" xfId="9" applyFont="1"/>
    <xf numFmtId="0" fontId="29" fillId="15" borderId="8" xfId="9" applyFont="1" applyFill="1" applyBorder="1"/>
    <xf numFmtId="0" fontId="23" fillId="4" borderId="2" xfId="9" applyFont="1" applyFill="1" applyBorder="1" applyAlignment="1">
      <alignment horizontal="center"/>
    </xf>
    <xf numFmtId="0" fontId="23" fillId="26" borderId="2" xfId="9" applyFont="1" applyFill="1" applyBorder="1" applyAlignment="1">
      <alignment horizontal="left" indent="1"/>
    </xf>
    <xf numFmtId="0" fontId="23" fillId="4" borderId="2" xfId="9" applyFont="1" applyFill="1" applyBorder="1" applyAlignment="1">
      <alignment horizontal="right"/>
    </xf>
    <xf numFmtId="42" fontId="23" fillId="26" borderId="2" xfId="9" applyNumberFormat="1" applyFont="1" applyFill="1" applyBorder="1"/>
    <xf numFmtId="9" fontId="23" fillId="26" borderId="2" xfId="10" applyFont="1" applyFill="1" applyBorder="1"/>
    <xf numFmtId="0" fontId="22" fillId="12" borderId="6" xfId="9" applyFont="1" applyFill="1" applyBorder="1" applyAlignment="1">
      <alignment horizontal="center"/>
    </xf>
    <xf numFmtId="0" fontId="23" fillId="9" borderId="6" xfId="9" applyFont="1" applyFill="1" applyBorder="1" applyAlignment="1">
      <alignment horizontal="center"/>
    </xf>
    <xf numFmtId="0" fontId="23" fillId="0" borderId="0" xfId="9" applyFont="1" applyAlignment="1">
      <alignment horizontal="center"/>
    </xf>
    <xf numFmtId="0" fontId="31" fillId="0" borderId="0" xfId="9" applyFont="1" applyAlignment="1">
      <alignment horizontal="left"/>
    </xf>
    <xf numFmtId="0" fontId="29" fillId="0" borderId="0" xfId="9" applyFont="1" applyAlignment="1">
      <alignment horizontal="center"/>
    </xf>
    <xf numFmtId="0" fontId="32" fillId="28" borderId="6" xfId="9" applyFont="1" applyFill="1" applyBorder="1" applyAlignment="1">
      <alignment horizontal="left"/>
    </xf>
    <xf numFmtId="0" fontId="29" fillId="29" borderId="6" xfId="9" applyFont="1" applyFill="1" applyBorder="1" applyAlignment="1">
      <alignment horizontal="center"/>
    </xf>
    <xf numFmtId="0" fontId="29" fillId="5" borderId="6" xfId="9" applyFont="1" applyFill="1" applyBorder="1" applyAlignment="1">
      <alignment horizontal="center"/>
    </xf>
    <xf numFmtId="0" fontId="23" fillId="0" borderId="0" xfId="9" applyFont="1"/>
    <xf numFmtId="0" fontId="33" fillId="0" borderId="0" xfId="9" applyFont="1"/>
    <xf numFmtId="170" fontId="22" fillId="26" borderId="2" xfId="6" applyNumberFormat="1" applyFont="1" applyFill="1" applyBorder="1" applyAlignment="1">
      <alignment horizontal="right"/>
    </xf>
    <xf numFmtId="42" fontId="22" fillId="26" borderId="2" xfId="9" applyNumberFormat="1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right" indent="2"/>
    </xf>
    <xf numFmtId="0" fontId="5" fillId="11" borderId="25" xfId="0" applyFont="1" applyFill="1" applyBorder="1" applyAlignment="1">
      <alignment horizontal="right" indent="2"/>
    </xf>
    <xf numFmtId="0" fontId="24" fillId="8" borderId="27" xfId="0" applyFont="1" applyFill="1" applyBorder="1" applyAlignment="1">
      <alignment horizontal="center" vertical="center"/>
    </xf>
    <xf numFmtId="0" fontId="24" fillId="8" borderId="28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 wrapText="1"/>
    </xf>
    <xf numFmtId="0" fontId="24" fillId="20" borderId="27" xfId="0" applyFont="1" applyFill="1" applyBorder="1" applyAlignment="1">
      <alignment horizontal="center" vertical="center"/>
    </xf>
    <xf numFmtId="0" fontId="24" fillId="20" borderId="28" xfId="0" applyFont="1" applyFill="1" applyBorder="1" applyAlignment="1">
      <alignment horizontal="center" vertical="center"/>
    </xf>
    <xf numFmtId="0" fontId="24" fillId="20" borderId="29" xfId="0" applyFont="1" applyFill="1" applyBorder="1" applyAlignment="1">
      <alignment horizontal="center" vertical="center"/>
    </xf>
    <xf numFmtId="0" fontId="24" fillId="19" borderId="6" xfId="0" applyFont="1" applyFill="1" applyBorder="1" applyAlignment="1">
      <alignment horizontal="center"/>
    </xf>
    <xf numFmtId="0" fontId="23" fillId="4" borderId="5" xfId="9" applyFont="1" applyFill="1" applyBorder="1" applyAlignment="1">
      <alignment horizontal="center"/>
    </xf>
    <xf numFmtId="0" fontId="23" fillId="4" borderId="20" xfId="9" applyFont="1" applyFill="1" applyBorder="1" applyAlignment="1">
      <alignment horizontal="center"/>
    </xf>
    <xf numFmtId="0" fontId="22" fillId="27" borderId="5" xfId="9" applyFont="1" applyFill="1" applyBorder="1" applyAlignment="1">
      <alignment horizontal="center"/>
    </xf>
    <xf numFmtId="0" fontId="22" fillId="27" borderId="8" xfId="9" applyFont="1" applyFill="1" applyBorder="1" applyAlignment="1">
      <alignment horizontal="center"/>
    </xf>
    <xf numFmtId="0" fontId="22" fillId="27" borderId="20" xfId="9" applyFont="1" applyFill="1" applyBorder="1" applyAlignment="1">
      <alignment horizontal="center"/>
    </xf>
    <xf numFmtId="0" fontId="22" fillId="25" borderId="0" xfId="9" applyFont="1" applyFill="1" applyAlignment="1">
      <alignment horizontal="center" vertical="center"/>
    </xf>
    <xf numFmtId="0" fontId="22" fillId="25" borderId="34" xfId="9" applyFont="1" applyFill="1" applyBorder="1" applyAlignment="1">
      <alignment horizontal="center" vertical="center"/>
    </xf>
    <xf numFmtId="0" fontId="22" fillId="9" borderId="10" xfId="9" applyFont="1" applyFill="1" applyBorder="1" applyAlignment="1">
      <alignment horizontal="center"/>
    </xf>
    <xf numFmtId="0" fontId="22" fillId="9" borderId="25" xfId="9" applyFont="1" applyFill="1" applyBorder="1" applyAlignment="1">
      <alignment horizontal="center"/>
    </xf>
    <xf numFmtId="0" fontId="22" fillId="9" borderId="0" xfId="9" applyFont="1" applyFill="1" applyAlignment="1">
      <alignment horizontal="center"/>
    </xf>
    <xf numFmtId="0" fontId="22" fillId="9" borderId="34" xfId="9" applyFont="1" applyFill="1" applyBorder="1" applyAlignment="1">
      <alignment horizontal="center"/>
    </xf>
    <xf numFmtId="0" fontId="12" fillId="21" borderId="31" xfId="0" applyFont="1" applyFill="1" applyBorder="1" applyAlignment="1">
      <alignment horizontal="center"/>
    </xf>
    <xf numFmtId="0" fontId="12" fillId="21" borderId="32" xfId="0" applyFont="1" applyFill="1" applyBorder="1" applyAlignment="1">
      <alignment horizont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2" fontId="0" fillId="0" borderId="0" xfId="0" applyNumberFormat="1"/>
    <xf numFmtId="10" fontId="23" fillId="19" borderId="2" xfId="0" applyNumberFormat="1" applyFont="1" applyFill="1" applyBorder="1" applyAlignment="1">
      <alignment horizontal="right" vertical="center" wrapText="1" indent="1"/>
    </xf>
    <xf numFmtId="0" fontId="22" fillId="4" borderId="21" xfId="9" applyFont="1" applyFill="1" applyBorder="1" applyAlignment="1">
      <alignment horizontal="center"/>
    </xf>
    <xf numFmtId="0" fontId="22" fillId="4" borderId="23" xfId="9" applyFont="1" applyFill="1" applyBorder="1" applyAlignment="1">
      <alignment horizontal="center"/>
    </xf>
    <xf numFmtId="0" fontId="22" fillId="25" borderId="22" xfId="9" applyFont="1" applyFill="1" applyBorder="1" applyAlignment="1">
      <alignment horizontal="center" vertical="center"/>
    </xf>
    <xf numFmtId="14" fontId="22" fillId="25" borderId="22" xfId="9" applyNumberFormat="1" applyFont="1" applyFill="1" applyBorder="1" applyAlignment="1">
      <alignment horizontal="center" vertical="center"/>
    </xf>
    <xf numFmtId="14" fontId="23" fillId="4" borderId="3" xfId="9" applyNumberFormat="1" applyFont="1" applyFill="1" applyBorder="1" applyAlignment="1">
      <alignment horizontal="center"/>
    </xf>
    <xf numFmtId="14" fontId="29" fillId="15" borderId="8" xfId="9" applyNumberFormat="1" applyFont="1" applyFill="1" applyBorder="1"/>
    <xf numFmtId="14" fontId="23" fillId="4" borderId="2" xfId="9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/>
    <xf numFmtId="0" fontId="34" fillId="0" borderId="0" xfId="0" applyFont="1" applyAlignment="1">
      <alignment horizontal="left"/>
    </xf>
    <xf numFmtId="0" fontId="34" fillId="0" borderId="0" xfId="0" applyFont="1"/>
  </cellXfs>
  <cellStyles count="11">
    <cellStyle name="Comma" xfId="6" builtinId="3"/>
    <cellStyle name="Comma [0]" xfId="7" builtinId="6"/>
    <cellStyle name="Comma 2" xfId="2" xr:uid="{9F965774-EC3C-45B1-87D8-36F4BB028E45}"/>
    <cellStyle name="Hyperlink" xfId="3" builtinId="8"/>
    <cellStyle name="Hyperlink 2" xfId="5" xr:uid="{459AE7F4-971A-4B6D-984B-F02EBFAA6CAC}"/>
    <cellStyle name="Normal" xfId="0" builtinId="0"/>
    <cellStyle name="Normal 2" xfId="4" xr:uid="{576060F5-1350-403C-B2D6-56EA7E125AD5}"/>
    <cellStyle name="Normal 3" xfId="1" xr:uid="{87201EC6-CEC3-42E1-AF78-135C12913C4E}"/>
    <cellStyle name="Normal 4" xfId="9" xr:uid="{FCC82FAE-DAF2-4D51-9228-CA03B86D8FCE}"/>
    <cellStyle name="Percent" xfId="8" builtinId="5"/>
    <cellStyle name="Percent 2" xfId="10" xr:uid="{EA3E25C4-CFAA-4650-841F-EBF21EE88665}"/>
  </cellStyles>
  <dxfs count="67">
    <dxf>
      <border>
        <bottom style="thin">
          <color rgb="FF00B0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dd/mm/yyyy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dd/mm/yyyy"/>
      <fill>
        <patternFill patternType="solid">
          <fgColor rgb="FFD0E0E3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dd/mm/yyyy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rgb="FFD0E0E3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rgb="FFF4CCCC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2" formatCode="_-&quot;Rp&quot;* #,##0_-;\-&quot;Rp&quot;* #,##0_-;_-&quot;Rp&quot;* &quot;-&quot;_-;_-@_-"/>
      <fill>
        <patternFill patternType="solid">
          <fgColor rgb="FFF4CCCC"/>
          <bgColor theme="9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rgb="FFD0E0E3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rgb="FFF4CCCC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rgb="FFF4CCCC"/>
          <bgColor theme="9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rgb="FFD0E0E3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rgb="FFF4CCCC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2" formatCode="_-&quot;Rp&quot;* #,##0_-;\-&quot;Rp&quot;* #,##0_-;_-&quot;Rp&quot;* &quot;-&quot;_-;_-@_-"/>
      <fill>
        <patternFill patternType="solid">
          <fgColor rgb="FFF4CCCC"/>
          <bgColor theme="9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rgb="FFD0E0E3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rgb="FFF4CCCC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2" formatCode="_-&quot;Rp&quot;* #,##0_-;\-&quot;Rp&quot;* #,##0_-;_-&quot;Rp&quot;* &quot;-&quot;_-;_-@_-"/>
      <fill>
        <patternFill patternType="solid">
          <fgColor rgb="FFF4CCCC"/>
          <bgColor theme="9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rgb="FFD0E0E3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  <bottom style="thin">
          <color theme="0"/>
        </bottom>
      </border>
    </dxf>
    <dxf>
      <border>
        <bottom style="thin">
          <color rgb="FF00B050"/>
        </bottom>
        <vertical/>
        <horizontal/>
      </border>
    </dxf>
    <dxf>
      <border>
        <bottom style="thin">
          <color rgb="FF00B050"/>
        </bottom>
        <vertical/>
        <horizontal/>
      </border>
    </dxf>
    <dxf>
      <numFmt numFmtId="174" formatCode=";;;&quot;Nihil&quot;"/>
    </dxf>
    <dxf>
      <numFmt numFmtId="175" formatCode=";;;&quot;Ringan&quot;"/>
    </dxf>
    <dxf>
      <numFmt numFmtId="176" formatCode=";;;&quot;Sedang&quot;"/>
    </dxf>
    <dxf>
      <numFmt numFmtId="177" formatCode=";;;&quot;Berat&quot;"/>
    </dxf>
    <dxf>
      <numFmt numFmtId="174" formatCode=";;;&quot;Nihil&quot;"/>
    </dxf>
    <dxf>
      <numFmt numFmtId="175" formatCode=";;;&quot;Ringan&quot;"/>
    </dxf>
    <dxf>
      <numFmt numFmtId="176" formatCode=";;;&quot;Sedang&quot;"/>
    </dxf>
    <dxf>
      <numFmt numFmtId="177" formatCode=";;;&quot;Berat&quot;"/>
    </dxf>
    <dxf>
      <border>
        <bottom style="thin">
          <color rgb="FF00B050"/>
        </bottom>
        <vertical/>
        <horizontal/>
      </border>
    </dxf>
    <dxf>
      <border>
        <bottom style="thin">
          <color rgb="FF00B0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bad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left" vertical="bottom" textRotation="0" wrapText="0" indent="1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bad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bad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25A5EC-7624-402C-A801-57C427456836}" name="Table5" displayName="Table5" ref="F3:F13" totalsRowShown="0" headerRowDxfId="66" dataDxfId="64" headerRowBorderDxfId="65" tableBorderDxfId="63" totalsRowBorderDxfId="62">
  <autoFilter ref="F3:F13" xr:uid="{FF25A5EC-7624-402C-A801-57C427456836}"/>
  <tableColumns count="1">
    <tableColumn id="1" xr3:uid="{D83C12CA-80AE-45BF-935A-1868A3E697A3}" name="NO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4B084E-CB21-4E5B-88A2-FEA0A8EA3EC0}" name="Table6" displayName="Table6" ref="G3:G13" totalsRowShown="0" headerRowDxfId="60" dataDxfId="58" headerRowBorderDxfId="59" tableBorderDxfId="57" totalsRowBorderDxfId="56">
  <autoFilter ref="G3:G13" xr:uid="{9D4B084E-CB21-4E5B-88A2-FEA0A8EA3EC0}"/>
  <tableColumns count="1">
    <tableColumn id="1" xr3:uid="{68AF48DC-0E02-47A4-85C8-3FF3B4767B86}" name="KODE" dataDxfId="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056DC2-9643-4EE5-95D9-9EDAFF57B833}" name="Table7" displayName="Table7" ref="H3:H13" totalsRowShown="0" headerRowDxfId="54" dataDxfId="52" headerRowBorderDxfId="53" tableBorderDxfId="51" totalsRowBorderDxfId="50">
  <autoFilter ref="H3:H13" xr:uid="{96056DC2-9643-4EE5-95D9-9EDAFF57B833}"/>
  <tableColumns count="1">
    <tableColumn id="1" xr3:uid="{4F892C47-02F0-4032-8509-7F02A2786601}" name="TERJUAL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91FE09-9B0C-4E9B-BBC1-95A1387B57EA}" name="Table3" displayName="Table3" ref="I3:I20" totalsRowShown="0" headerRowDxfId="31" dataDxfId="32" headerRowBorderDxfId="35" tableBorderDxfId="36" totalsRowBorderDxfId="34" headerRowCellStyle="Normal 4" dataCellStyle="Normal 4">
  <autoFilter ref="I3:I20" xr:uid="{D391FE09-9B0C-4E9B-BBC1-95A1387B57EA}"/>
  <tableColumns count="1">
    <tableColumn id="1" xr3:uid="{4C2551B5-F3EF-43C1-8BEA-EFE4041F91FC}" name="QTY" dataDxfId="33" dataCellStyle="Normal 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6DA4DD-9BC6-4C05-9DBF-A32E7130B2D6}" name="Table4" displayName="Table4" ref="J3:J20" totalsRowShown="0" headerRowDxfId="25" dataDxfId="26" headerRowBorderDxfId="29" tableBorderDxfId="30" totalsRowBorderDxfId="28" headerRowCellStyle="Normal 4" dataCellStyle="Normal 4">
  <autoFilter ref="J3:J20" xr:uid="{976DA4DD-9BC6-4C05-9DBF-A32E7130B2D6}"/>
  <tableColumns count="1">
    <tableColumn id="1" xr3:uid="{977A3817-E650-4534-8CCE-F9A5C0E6C56B}" name="HARGA SATUAN" dataDxfId="27" dataCellStyle="Normal 4">
      <calculatedColumnFormula>HLOOKUP(G4,$P$12:$S$14,3,0)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48F0CD-6591-4409-9397-EE8E69F420F1}" name="Table8" displayName="Table8" ref="K3:K20" totalsRowShown="0" headerRowDxfId="19" dataDxfId="20" headerRowBorderDxfId="23" tableBorderDxfId="24" totalsRowBorderDxfId="22" headerRowCellStyle="Normal 4" dataCellStyle="Normal 4">
  <autoFilter ref="K3:K20" xr:uid="{7E48F0CD-6591-4409-9397-EE8E69F420F1}"/>
  <tableColumns count="1">
    <tableColumn id="1" xr3:uid="{7F6D12A4-49B8-4500-A472-60EA0D1ABB9B}" name="TOTAL PENJUALAN" dataDxfId="21" dataCellStyle="Normal 4">
      <calculatedColumnFormula>I4*J4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4D5C49-35D1-460A-AAC8-626D4283939D}" name="Table9" displayName="Table9" ref="L3:L20" totalsRowShown="0" headerRowDxfId="13" dataDxfId="14" headerRowBorderDxfId="17" tableBorderDxfId="18" totalsRowBorderDxfId="16" headerRowCellStyle="Normal 4" dataCellStyle="Percent 2">
  <autoFilter ref="L3:L20" xr:uid="{C54D5C49-35D1-460A-AAC8-626D4283939D}"/>
  <tableColumns count="1">
    <tableColumn id="1" xr3:uid="{402D9AF0-17EA-493D-B70A-6D58C0600C64}" name="DISKON" dataDxfId="15" dataCellStyle="Percent 2">
      <calculatedColumnFormula>IF(K4&gt;=100000000,10%,IF(K4&gt;=50000000,5%,0))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D2C16F-5FFF-423B-B56B-50729158E0DF}" name="Table10" displayName="Table10" ref="M3:M20" totalsRowShown="0" headerRowDxfId="7" dataDxfId="8" headerRowBorderDxfId="11" tableBorderDxfId="12" totalsRowBorderDxfId="10" headerRowCellStyle="Normal 4" dataCellStyle="Normal 4">
  <autoFilter ref="M3:M20" xr:uid="{78D2C16F-5FFF-423B-B56B-50729158E0DF}"/>
  <tableColumns count="1">
    <tableColumn id="1" xr3:uid="{0600EEB8-95F3-4140-A45E-E3F9D99FF670}" name="PENJUALAN BERSIH" dataDxfId="9" dataCellStyle="Normal 4">
      <calculatedColumnFormula>K4-(K4*L4)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9C8653-5025-437C-809A-D3E9BE0B4C4B}" name="Table11" displayName="Table11" ref="D3:D20" totalsRowShown="0" headerRowDxfId="2" dataDxfId="1" headerRowBorderDxfId="5" tableBorderDxfId="6" totalsRowBorderDxfId="4" headerRowCellStyle="Normal 4" dataCellStyle="Normal 4">
  <autoFilter ref="D3:D20" xr:uid="{329C8653-5025-437C-809A-D3E9BE0B4C4B}"/>
  <tableColumns count="1">
    <tableColumn id="1" xr3:uid="{4D67C712-1A91-4363-9311-A56FDDCDB323}" name="TANGGAL" dataDxfId="3" dataCellStyle="Normal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4F1B-2CD9-437D-B979-2FE9251DC9D8}">
  <dimension ref="B3:K20"/>
  <sheetViews>
    <sheetView zoomScale="80" zoomScaleNormal="80" workbookViewId="0">
      <selection activeCell="M6" sqref="M6"/>
    </sheetView>
  </sheetViews>
  <sheetFormatPr defaultRowHeight="15" x14ac:dyDescent="0.25"/>
  <cols>
    <col min="1" max="1" width="9.140625" style="1"/>
    <col min="2" max="2" width="9.42578125" style="1" bestFit="1" customWidth="1"/>
    <col min="3" max="3" width="22.85546875" style="1" bestFit="1" customWidth="1"/>
    <col min="4" max="4" width="21.7109375" style="1" bestFit="1" customWidth="1"/>
    <col min="5" max="6" width="18.42578125" style="1" bestFit="1" customWidth="1"/>
    <col min="7" max="7" width="19" style="1" bestFit="1" customWidth="1"/>
    <col min="8" max="8" width="15.5703125" style="1" bestFit="1" customWidth="1"/>
    <col min="9" max="9" width="18.5703125" style="1" bestFit="1" customWidth="1"/>
    <col min="10" max="10" width="27.7109375" style="1" bestFit="1" customWidth="1"/>
    <col min="11" max="11" width="26.140625" style="1" bestFit="1" customWidth="1"/>
    <col min="12" max="16384" width="9.140625" style="1"/>
  </cols>
  <sheetData>
    <row r="3" spans="2:11" ht="30" x14ac:dyDescent="0.25">
      <c r="B3" s="3" t="s">
        <v>0</v>
      </c>
      <c r="C3" s="3" t="s">
        <v>41</v>
      </c>
      <c r="D3" s="4" t="s">
        <v>42</v>
      </c>
      <c r="E3" s="4" t="s">
        <v>43</v>
      </c>
      <c r="F3" s="4" t="s">
        <v>44</v>
      </c>
      <c r="G3" s="4" t="s">
        <v>1</v>
      </c>
      <c r="H3" s="5" t="s">
        <v>45</v>
      </c>
      <c r="I3" s="5" t="s">
        <v>46</v>
      </c>
      <c r="J3" s="5" t="s">
        <v>47</v>
      </c>
      <c r="K3" s="5" t="s">
        <v>48</v>
      </c>
    </row>
    <row r="4" spans="2:11" x14ac:dyDescent="0.25"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49</v>
      </c>
      <c r="I4" s="8" t="s">
        <v>8</v>
      </c>
      <c r="J4" s="9" t="s">
        <v>9</v>
      </c>
      <c r="K4" s="8" t="s">
        <v>10</v>
      </c>
    </row>
    <row r="5" spans="2:11" x14ac:dyDescent="0.25">
      <c r="B5" s="10"/>
      <c r="C5" s="10"/>
      <c r="D5" s="11"/>
      <c r="E5" s="11"/>
      <c r="F5" s="11"/>
      <c r="G5" s="11"/>
      <c r="H5" s="11"/>
      <c r="I5" s="11"/>
      <c r="J5" s="11"/>
      <c r="K5" s="10"/>
    </row>
    <row r="6" spans="2:11" x14ac:dyDescent="0.25">
      <c r="B6" s="12">
        <v>1</v>
      </c>
      <c r="C6" s="7" t="s">
        <v>11</v>
      </c>
      <c r="D6" s="8" t="str">
        <f>UPPER(C6)</f>
        <v>ANDI SAPUTRA</v>
      </c>
      <c r="E6" s="8" t="str">
        <f>LOWER(C6)</f>
        <v>andi saputra</v>
      </c>
      <c r="F6" s="8" t="str">
        <f>PROPER(C6)</f>
        <v>Andi Saputra</v>
      </c>
      <c r="G6" s="8" t="str">
        <f>UPPER(LEFT(C6,1))&amp;LOWER(RIGHT(C6,LEN(C6)-1))</f>
        <v>Andi saputra</v>
      </c>
      <c r="H6" s="8" t="str">
        <f>IF(EXACT(C6,UPPER(C6)),"Capital Letters",IF(EXACT(C6,LOWER(C6)),"Lowercase","Mixed Letters"))</f>
        <v>Lowercase</v>
      </c>
      <c r="I6" s="8" t="str">
        <f>UPPER(LEFT(C6,1))&amp;LOWER(MID(C6,2,LEN(C6)-2))&amp;UPPER(RIGHT(C6,1))</f>
        <v>Andi saputrA</v>
      </c>
      <c r="J6" s="9" t="s">
        <v>12</v>
      </c>
      <c r="K6" s="8" t="str">
        <f>UPPER(LEFT(J6,FIND(" ",J6)-1))&amp;" "&amp;PROPER(MID(J6,FIND(" ",J6)+1,LEN(J6)))</f>
        <v>SD Nusantara Cemerlang</v>
      </c>
    </row>
    <row r="7" spans="2:11" x14ac:dyDescent="0.25">
      <c r="B7" s="12">
        <v>2</v>
      </c>
      <c r="C7" s="7" t="s">
        <v>13</v>
      </c>
      <c r="D7" s="8" t="str">
        <f t="shared" ref="D7:D20" si="0">UPPER(C7)</f>
        <v>BUDI SANTOSO</v>
      </c>
      <c r="E7" s="8" t="str">
        <f t="shared" ref="E7:E20" si="1">LOWER(C7)</f>
        <v>budi santoso</v>
      </c>
      <c r="F7" s="8" t="str">
        <f t="shared" ref="F7:F20" si="2">PROPER(C7)</f>
        <v>Budi Santoso</v>
      </c>
      <c r="G7" s="8" t="str">
        <f t="shared" ref="G7:G20" si="3">UPPER(LEFT(C7,1))&amp;LOWER(RIGHT(C7,LEN(C7)-1))</f>
        <v>Budi santoso</v>
      </c>
      <c r="H7" s="8" t="str">
        <f t="shared" ref="H7:H20" si="4">IF(EXACT(C7,UPPER(C7)),"Capital Letters",IF(EXACT(C7,LOWER(C7)),"Lowercase","Mixed Letters"))</f>
        <v>Mixed Letters</v>
      </c>
      <c r="I7" s="8" t="str">
        <f t="shared" ref="I7:I20" si="5">UPPER(LEFT(C7,1))&amp;LOWER(MID(C7,2,LEN(C7)-2))&amp;UPPER(RIGHT(C7,1))</f>
        <v>Budi santosO</v>
      </c>
      <c r="J7" s="9" t="s">
        <v>14</v>
      </c>
      <c r="K7" s="8" t="str">
        <f t="shared" ref="K7:K20" si="6">UPPER(LEFT(J7,FIND(" ",J7)-1))&amp;" "&amp;PROPER(MID(J7,FIND(" ",J7)+1,LEN(J7)))</f>
        <v>SMP Bina Karya Utama</v>
      </c>
    </row>
    <row r="8" spans="2:11" x14ac:dyDescent="0.25">
      <c r="B8" s="12">
        <v>3</v>
      </c>
      <c r="C8" s="7" t="s">
        <v>15</v>
      </c>
      <c r="D8" s="8" t="str">
        <f t="shared" si="0"/>
        <v>CITRA DEWI</v>
      </c>
      <c r="E8" s="8" t="str">
        <f t="shared" si="1"/>
        <v>citra dewi</v>
      </c>
      <c r="F8" s="8" t="str">
        <f t="shared" si="2"/>
        <v>Citra Dewi</v>
      </c>
      <c r="G8" s="8" t="str">
        <f t="shared" si="3"/>
        <v>Citra dewi</v>
      </c>
      <c r="H8" s="8" t="str">
        <f t="shared" si="4"/>
        <v>Capital Letters</v>
      </c>
      <c r="I8" s="8" t="str">
        <f t="shared" si="5"/>
        <v>Citra dewI</v>
      </c>
      <c r="J8" s="9" t="s">
        <v>16</v>
      </c>
      <c r="K8" s="8" t="str">
        <f t="shared" si="6"/>
        <v>SMA Global Prestasi</v>
      </c>
    </row>
    <row r="9" spans="2:11" x14ac:dyDescent="0.25">
      <c r="B9" s="12">
        <v>4</v>
      </c>
      <c r="C9" s="7" t="s">
        <v>17</v>
      </c>
      <c r="D9" s="8" t="str">
        <f t="shared" si="0"/>
        <v>DIAN PRASETYO</v>
      </c>
      <c r="E9" s="8" t="str">
        <f t="shared" si="1"/>
        <v>dian prasetyo</v>
      </c>
      <c r="F9" s="8" t="str">
        <f t="shared" si="2"/>
        <v>Dian Prasetyo</v>
      </c>
      <c r="G9" s="8" t="str">
        <f t="shared" si="3"/>
        <v>Dian prasetyo</v>
      </c>
      <c r="H9" s="8" t="str">
        <f t="shared" si="4"/>
        <v>Mixed Letters</v>
      </c>
      <c r="I9" s="8" t="str">
        <f t="shared" si="5"/>
        <v>Dian prasetyO</v>
      </c>
      <c r="J9" s="9" t="s">
        <v>18</v>
      </c>
      <c r="K9" s="8" t="str">
        <f t="shared" si="6"/>
        <v>SD Pelita Insan Mulia</v>
      </c>
    </row>
    <row r="10" spans="2:11" x14ac:dyDescent="0.25">
      <c r="B10" s="12">
        <v>5</v>
      </c>
      <c r="C10" s="7" t="s">
        <v>19</v>
      </c>
      <c r="D10" s="8" t="str">
        <f t="shared" si="0"/>
        <v>EKO WAHYUDI</v>
      </c>
      <c r="E10" s="8" t="str">
        <f t="shared" si="1"/>
        <v>eko wahyudi</v>
      </c>
      <c r="F10" s="8" t="str">
        <f t="shared" si="2"/>
        <v>Eko Wahyudi</v>
      </c>
      <c r="G10" s="8" t="str">
        <f t="shared" si="3"/>
        <v>Eko wahyudi</v>
      </c>
      <c r="H10" s="8" t="str">
        <f t="shared" si="4"/>
        <v>Capital Letters</v>
      </c>
      <c r="I10" s="8" t="str">
        <f t="shared" si="5"/>
        <v>Eko wahyudI</v>
      </c>
      <c r="J10" s="9" t="s">
        <v>20</v>
      </c>
      <c r="K10" s="8" t="str">
        <f t="shared" si="6"/>
        <v>SMA Sinar Abudi</v>
      </c>
    </row>
    <row r="11" spans="2:11" x14ac:dyDescent="0.25">
      <c r="B11" s="12">
        <v>6</v>
      </c>
      <c r="C11" s="7" t="s">
        <v>21</v>
      </c>
      <c r="D11" s="8" t="str">
        <f t="shared" si="0"/>
        <v>FITRI ANJANI</v>
      </c>
      <c r="E11" s="8" t="str">
        <f t="shared" si="1"/>
        <v>fitri anjani</v>
      </c>
      <c r="F11" s="8" t="str">
        <f t="shared" si="2"/>
        <v>Fitri Anjani</v>
      </c>
      <c r="G11" s="8" t="str">
        <f t="shared" si="3"/>
        <v>Fitri anjani</v>
      </c>
      <c r="H11" s="8" t="str">
        <f t="shared" si="4"/>
        <v>Lowercase</v>
      </c>
      <c r="I11" s="8" t="str">
        <f t="shared" si="5"/>
        <v>Fitri anjanI</v>
      </c>
      <c r="J11" s="9" t="s">
        <v>22</v>
      </c>
      <c r="K11" s="8" t="str">
        <f t="shared" si="6"/>
        <v>SMP Tunas Bangsa</v>
      </c>
    </row>
    <row r="12" spans="2:11" x14ac:dyDescent="0.25">
      <c r="B12" s="12">
        <v>7</v>
      </c>
      <c r="C12" s="7" t="s">
        <v>23</v>
      </c>
      <c r="D12" s="8" t="str">
        <f t="shared" si="0"/>
        <v>GALIH PERMANA</v>
      </c>
      <c r="E12" s="8" t="str">
        <f t="shared" si="1"/>
        <v>galih permana</v>
      </c>
      <c r="F12" s="8" t="str">
        <f t="shared" si="2"/>
        <v>Galih Permana</v>
      </c>
      <c r="G12" s="8" t="str">
        <f t="shared" si="3"/>
        <v>Galih permana</v>
      </c>
      <c r="H12" s="8" t="str">
        <f t="shared" si="4"/>
        <v>Mixed Letters</v>
      </c>
      <c r="I12" s="8" t="str">
        <f t="shared" si="5"/>
        <v>Galih permanA</v>
      </c>
      <c r="J12" s="9" t="s">
        <v>24</v>
      </c>
      <c r="K12" s="8" t="str">
        <f t="shared" si="6"/>
        <v>SMA Cendekia Mandiri</v>
      </c>
    </row>
    <row r="13" spans="2:11" x14ac:dyDescent="0.25">
      <c r="B13" s="12">
        <v>8</v>
      </c>
      <c r="C13" s="7" t="s">
        <v>25</v>
      </c>
      <c r="D13" s="8" t="str">
        <f t="shared" si="0"/>
        <v>HENDRA GUNAWAN</v>
      </c>
      <c r="E13" s="8" t="str">
        <f t="shared" si="1"/>
        <v>hendra gunawan</v>
      </c>
      <c r="F13" s="8" t="str">
        <f t="shared" si="2"/>
        <v>Hendra Gunawan</v>
      </c>
      <c r="G13" s="8" t="str">
        <f t="shared" si="3"/>
        <v>Hendra gunawan</v>
      </c>
      <c r="H13" s="8" t="str">
        <f t="shared" si="4"/>
        <v>Mixed Letters</v>
      </c>
      <c r="I13" s="8" t="str">
        <f t="shared" si="5"/>
        <v>Hendra gunawaN</v>
      </c>
      <c r="J13" s="9" t="s">
        <v>26</v>
      </c>
      <c r="K13" s="8" t="str">
        <f t="shared" si="6"/>
        <v>SD Bhakti Pertiwi</v>
      </c>
    </row>
    <row r="14" spans="2:11" x14ac:dyDescent="0.25">
      <c r="B14" s="12">
        <v>9</v>
      </c>
      <c r="C14" s="7" t="s">
        <v>27</v>
      </c>
      <c r="D14" s="8" t="str">
        <f t="shared" si="0"/>
        <v>INDAH SARI</v>
      </c>
      <c r="E14" s="8" t="str">
        <f t="shared" si="1"/>
        <v>indah sari</v>
      </c>
      <c r="F14" s="8" t="str">
        <f t="shared" si="2"/>
        <v>Indah Sari</v>
      </c>
      <c r="G14" s="8" t="str">
        <f t="shared" si="3"/>
        <v>Indah sari</v>
      </c>
      <c r="H14" s="8" t="str">
        <f t="shared" si="4"/>
        <v>Lowercase</v>
      </c>
      <c r="I14" s="8" t="str">
        <f t="shared" si="5"/>
        <v>Indah sarI</v>
      </c>
      <c r="J14" s="9" t="s">
        <v>28</v>
      </c>
      <c r="K14" s="8" t="str">
        <f t="shared" si="6"/>
        <v>SMP Mekar Jaya Abadi</v>
      </c>
    </row>
    <row r="15" spans="2:11" x14ac:dyDescent="0.25">
      <c r="B15" s="12">
        <v>10</v>
      </c>
      <c r="C15" s="7" t="s">
        <v>29</v>
      </c>
      <c r="D15" s="8" t="str">
        <f t="shared" si="0"/>
        <v>JOKO SUSILO</v>
      </c>
      <c r="E15" s="8" t="str">
        <f t="shared" si="1"/>
        <v>joko susilo</v>
      </c>
      <c r="F15" s="8" t="str">
        <f t="shared" si="2"/>
        <v>Joko Susilo</v>
      </c>
      <c r="G15" s="8" t="str">
        <f t="shared" si="3"/>
        <v>Joko susilo</v>
      </c>
      <c r="H15" s="8" t="str">
        <f t="shared" si="4"/>
        <v>Capital Letters</v>
      </c>
      <c r="I15" s="8" t="str">
        <f t="shared" si="5"/>
        <v>Joko susilO</v>
      </c>
      <c r="J15" s="9" t="s">
        <v>30</v>
      </c>
      <c r="K15" s="8" t="str">
        <f t="shared" si="6"/>
        <v>SMA Pusaka Nusantara</v>
      </c>
    </row>
    <row r="16" spans="2:11" x14ac:dyDescent="0.25">
      <c r="B16" s="12">
        <v>11</v>
      </c>
      <c r="C16" s="7" t="s">
        <v>31</v>
      </c>
      <c r="D16" s="8" t="str">
        <f t="shared" si="0"/>
        <v>KARTIKA PUTRI</v>
      </c>
      <c r="E16" s="8" t="str">
        <f t="shared" si="1"/>
        <v>kartika putri</v>
      </c>
      <c r="F16" s="8" t="str">
        <f t="shared" si="2"/>
        <v>Kartika Putri</v>
      </c>
      <c r="G16" s="8" t="str">
        <f t="shared" si="3"/>
        <v>Kartika putri</v>
      </c>
      <c r="H16" s="8" t="str">
        <f t="shared" si="4"/>
        <v>Mixed Letters</v>
      </c>
      <c r="I16" s="8" t="str">
        <f t="shared" si="5"/>
        <v>Kartika putrI</v>
      </c>
      <c r="J16" s="9" t="s">
        <v>32</v>
      </c>
      <c r="K16" s="8" t="str">
        <f t="shared" si="6"/>
        <v>SD Citra Harapan</v>
      </c>
    </row>
    <row r="17" spans="2:11" x14ac:dyDescent="0.25">
      <c r="B17" s="12">
        <v>12</v>
      </c>
      <c r="C17" s="7" t="s">
        <v>33</v>
      </c>
      <c r="D17" s="8" t="str">
        <f t="shared" si="0"/>
        <v>LESTARI AYU</v>
      </c>
      <c r="E17" s="8" t="str">
        <f t="shared" si="1"/>
        <v>lestari ayu</v>
      </c>
      <c r="F17" s="8" t="str">
        <f t="shared" si="2"/>
        <v>Lestari Ayu</v>
      </c>
      <c r="G17" s="8" t="str">
        <f t="shared" si="3"/>
        <v>Lestari ayu</v>
      </c>
      <c r="H17" s="8" t="str">
        <f t="shared" si="4"/>
        <v>Capital Letters</v>
      </c>
      <c r="I17" s="8" t="str">
        <f t="shared" si="5"/>
        <v>Lestari ayU</v>
      </c>
      <c r="J17" s="9" t="s">
        <v>34</v>
      </c>
      <c r="K17" s="8" t="str">
        <f t="shared" si="6"/>
        <v>SMP Arga Sentosa</v>
      </c>
    </row>
    <row r="18" spans="2:11" x14ac:dyDescent="0.25">
      <c r="B18" s="12">
        <v>13</v>
      </c>
      <c r="C18" s="7" t="s">
        <v>35</v>
      </c>
      <c r="D18" s="8" t="str">
        <f t="shared" si="0"/>
        <v>MUHAMMAD RIZKY</v>
      </c>
      <c r="E18" s="8" t="str">
        <f t="shared" si="1"/>
        <v>muhammad rizky</v>
      </c>
      <c r="F18" s="8" t="str">
        <f t="shared" si="2"/>
        <v>Muhammad Rizky</v>
      </c>
      <c r="G18" s="8" t="str">
        <f t="shared" si="3"/>
        <v>Muhammad rizky</v>
      </c>
      <c r="H18" s="8" t="str">
        <f t="shared" si="4"/>
        <v>Mixed Letters</v>
      </c>
      <c r="I18" s="8" t="str">
        <f t="shared" si="5"/>
        <v>Muhammad rizkY</v>
      </c>
      <c r="J18" s="9" t="s">
        <v>36</v>
      </c>
      <c r="K18" s="8" t="str">
        <f t="shared" si="6"/>
        <v>SMA Bintang Timur</v>
      </c>
    </row>
    <row r="19" spans="2:11" x14ac:dyDescent="0.25">
      <c r="B19" s="12">
        <v>14</v>
      </c>
      <c r="C19" s="7" t="s">
        <v>37</v>
      </c>
      <c r="D19" s="8" t="str">
        <f t="shared" si="0"/>
        <v>NADIA KUSUMA</v>
      </c>
      <c r="E19" s="8" t="str">
        <f t="shared" si="1"/>
        <v>nadia kusuma</v>
      </c>
      <c r="F19" s="8" t="str">
        <f t="shared" si="2"/>
        <v>Nadia Kusuma</v>
      </c>
      <c r="G19" s="8" t="str">
        <f t="shared" si="3"/>
        <v>Nadia kusuma</v>
      </c>
      <c r="H19" s="8" t="str">
        <f t="shared" si="4"/>
        <v>Capital Letters</v>
      </c>
      <c r="I19" s="8" t="str">
        <f t="shared" si="5"/>
        <v>Nadia kusumA</v>
      </c>
      <c r="J19" s="9" t="s">
        <v>38</v>
      </c>
      <c r="K19" s="8" t="str">
        <f t="shared" si="6"/>
        <v>SD Mutiara Hati</v>
      </c>
    </row>
    <row r="20" spans="2:11" x14ac:dyDescent="0.25">
      <c r="B20" s="12">
        <v>15</v>
      </c>
      <c r="C20" s="7" t="s">
        <v>39</v>
      </c>
      <c r="D20" s="8" t="str">
        <f t="shared" si="0"/>
        <v>LUSI ATMAJAYA</v>
      </c>
      <c r="E20" s="8" t="str">
        <f t="shared" si="1"/>
        <v>lusi atmajaya</v>
      </c>
      <c r="F20" s="8" t="str">
        <f t="shared" si="2"/>
        <v>Lusi Atmajaya</v>
      </c>
      <c r="G20" s="8" t="str">
        <f t="shared" si="3"/>
        <v>Lusi atmajaya</v>
      </c>
      <c r="H20" s="8" t="str">
        <f t="shared" si="4"/>
        <v>Mixed Letters</v>
      </c>
      <c r="I20" s="8" t="str">
        <f t="shared" si="5"/>
        <v>Lusi atmajayA</v>
      </c>
      <c r="J20" s="9" t="s">
        <v>40</v>
      </c>
      <c r="K20" s="8" t="str">
        <f t="shared" si="6"/>
        <v>SMP Lensa Ilmu</v>
      </c>
    </row>
  </sheetData>
  <conditionalFormatting sqref="B6:K20">
    <cfRule type="expression" dxfId="48" priority="1">
      <formula>$B6=15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0261-F461-43FA-B2BE-A8EF0F81AA9B}">
  <dimension ref="B2:J21"/>
  <sheetViews>
    <sheetView workbookViewId="0">
      <selection activeCell="I3" sqref="I3"/>
    </sheetView>
  </sheetViews>
  <sheetFormatPr defaultRowHeight="15" x14ac:dyDescent="0.25"/>
  <cols>
    <col min="1" max="1" width="9.140625" style="1"/>
    <col min="2" max="2" width="15.5703125" style="1" bestFit="1" customWidth="1"/>
    <col min="3" max="3" width="20.140625" style="1" customWidth="1"/>
    <col min="4" max="4" width="13.140625" style="1" customWidth="1"/>
    <col min="5" max="5" width="12.85546875" style="1" customWidth="1"/>
    <col min="6" max="6" width="12.42578125" style="1" customWidth="1"/>
    <col min="7" max="7" width="19.28515625" style="1" customWidth="1"/>
    <col min="8" max="8" width="17.140625" style="1" customWidth="1"/>
    <col min="9" max="9" width="18.85546875" style="1" customWidth="1"/>
    <col min="10" max="16384" width="9.140625" style="1"/>
  </cols>
  <sheetData>
    <row r="2" spans="2:10" x14ac:dyDescent="0.25">
      <c r="B2" s="13" t="s">
        <v>78</v>
      </c>
      <c r="C2" s="13" t="s">
        <v>77</v>
      </c>
      <c r="D2" s="13" t="s">
        <v>76</v>
      </c>
      <c r="E2" s="13" t="s">
        <v>75</v>
      </c>
      <c r="F2" s="13" t="s">
        <v>74</v>
      </c>
      <c r="G2" s="13" t="s">
        <v>73</v>
      </c>
      <c r="H2" s="13" t="s">
        <v>72</v>
      </c>
      <c r="I2" s="13" t="s">
        <v>71</v>
      </c>
      <c r="J2" s="14"/>
    </row>
    <row r="3" spans="2:10" x14ac:dyDescent="0.25">
      <c r="B3" s="15">
        <v>45155</v>
      </c>
      <c r="C3" s="16" t="s">
        <v>50</v>
      </c>
      <c r="D3" s="16" t="s">
        <v>51</v>
      </c>
      <c r="E3" s="17" t="str">
        <f>HLOOKUP(LEFT(D3,3),$C$14:$E$15,2,0)</f>
        <v>Economics</v>
      </c>
      <c r="F3" s="17" t="str">
        <f>VLOOKUP(RIGHT(D3,1),$B$18:$C$21,2,0)</f>
        <v>Adults</v>
      </c>
      <c r="G3" s="18">
        <f>INDEX($D$19:$F$21,MATCH(RIGHT(D3,1),$B$19:$B$21,0),MATCH(E3,$D$18:$F$18,0))</f>
        <v>75000</v>
      </c>
      <c r="H3" s="18">
        <f>IF(B3&lt;DATE(2023,9,1),G3*10%,0)</f>
        <v>7500</v>
      </c>
      <c r="I3" s="19">
        <f>G3-H3</f>
        <v>67500</v>
      </c>
      <c r="J3" s="20"/>
    </row>
    <row r="4" spans="2:10" x14ac:dyDescent="0.25">
      <c r="B4" s="15">
        <v>45170</v>
      </c>
      <c r="C4" s="16" t="s">
        <v>52</v>
      </c>
      <c r="D4" s="16" t="s">
        <v>53</v>
      </c>
      <c r="E4" s="17" t="str">
        <f t="shared" ref="E4:E9" si="0">HLOOKUP(LEFT(D4,3),$C$14:$E$15,2,0)</f>
        <v>Executive</v>
      </c>
      <c r="F4" s="17" t="str">
        <f t="shared" ref="F4:F9" si="1">VLOOKUP(RIGHT(D4,1),$B$18:$C$21,2,0)</f>
        <v>Children</v>
      </c>
      <c r="G4" s="18">
        <f t="shared" ref="G4:G9" si="2">INDEX($D$19:$F$21,MATCH(RIGHT(D4,1),$B$19:$B$21,0),MATCH(E4,$D$18:$F$18,0))</f>
        <v>100000</v>
      </c>
      <c r="H4" s="18">
        <f t="shared" ref="H4:H9" si="3">IF(B4&lt;DATE(2023,9,1),G4*10%,0)</f>
        <v>0</v>
      </c>
      <c r="I4" s="19">
        <f t="shared" ref="I4:I9" si="4">G4-H4</f>
        <v>100000</v>
      </c>
      <c r="J4" s="20"/>
    </row>
    <row r="5" spans="2:10" x14ac:dyDescent="0.25">
      <c r="B5" s="15">
        <v>45169</v>
      </c>
      <c r="C5" s="16" t="s">
        <v>54</v>
      </c>
      <c r="D5" s="16" t="s">
        <v>55</v>
      </c>
      <c r="E5" s="17" t="str">
        <f t="shared" si="0"/>
        <v>Business</v>
      </c>
      <c r="F5" s="17" t="str">
        <f t="shared" si="1"/>
        <v>Children</v>
      </c>
      <c r="G5" s="18">
        <f t="shared" si="2"/>
        <v>70000</v>
      </c>
      <c r="H5" s="18">
        <f t="shared" si="3"/>
        <v>7000</v>
      </c>
      <c r="I5" s="19">
        <f t="shared" si="4"/>
        <v>63000</v>
      </c>
      <c r="J5" s="20"/>
    </row>
    <row r="6" spans="2:10" x14ac:dyDescent="0.25">
      <c r="B6" s="15">
        <v>45174</v>
      </c>
      <c r="C6" s="16" t="s">
        <v>56</v>
      </c>
      <c r="D6" s="16" t="s">
        <v>57</v>
      </c>
      <c r="E6" s="17" t="str">
        <f t="shared" si="0"/>
        <v>Executive</v>
      </c>
      <c r="F6" s="17" t="str">
        <f t="shared" si="1"/>
        <v>Adults</v>
      </c>
      <c r="G6" s="18">
        <f t="shared" si="2"/>
        <v>150000</v>
      </c>
      <c r="H6" s="18">
        <f t="shared" si="3"/>
        <v>0</v>
      </c>
      <c r="I6" s="19">
        <f t="shared" si="4"/>
        <v>150000</v>
      </c>
      <c r="J6" s="20"/>
    </row>
    <row r="7" spans="2:10" x14ac:dyDescent="0.25">
      <c r="B7" s="15">
        <v>45163</v>
      </c>
      <c r="C7" s="16" t="s">
        <v>58</v>
      </c>
      <c r="D7" s="16" t="s">
        <v>59</v>
      </c>
      <c r="E7" s="17" t="str">
        <f t="shared" si="0"/>
        <v>Economics</v>
      </c>
      <c r="F7" s="17" t="str">
        <f t="shared" si="1"/>
        <v>Elderly</v>
      </c>
      <c r="G7" s="18">
        <f t="shared" si="2"/>
        <v>60000</v>
      </c>
      <c r="H7" s="18">
        <f t="shared" si="3"/>
        <v>6000</v>
      </c>
      <c r="I7" s="19">
        <f t="shared" si="4"/>
        <v>54000</v>
      </c>
      <c r="J7" s="20"/>
    </row>
    <row r="8" spans="2:10" x14ac:dyDescent="0.25">
      <c r="B8" s="15">
        <v>45179</v>
      </c>
      <c r="C8" s="16" t="s">
        <v>60</v>
      </c>
      <c r="D8" s="16" t="s">
        <v>61</v>
      </c>
      <c r="E8" s="17" t="str">
        <f t="shared" si="0"/>
        <v>Business</v>
      </c>
      <c r="F8" s="17" t="str">
        <f t="shared" si="1"/>
        <v>Adults</v>
      </c>
      <c r="G8" s="18">
        <f t="shared" si="2"/>
        <v>100000</v>
      </c>
      <c r="H8" s="18">
        <f t="shared" si="3"/>
        <v>0</v>
      </c>
      <c r="I8" s="19">
        <f t="shared" si="4"/>
        <v>100000</v>
      </c>
      <c r="J8" s="20"/>
    </row>
    <row r="9" spans="2:10" ht="15.75" thickBot="1" x14ac:dyDescent="0.3">
      <c r="B9" s="21">
        <v>45169</v>
      </c>
      <c r="C9" s="22" t="s">
        <v>62</v>
      </c>
      <c r="D9" s="22" t="s">
        <v>63</v>
      </c>
      <c r="E9" s="17" t="str">
        <f t="shared" si="0"/>
        <v>Executive</v>
      </c>
      <c r="F9" s="17" t="str">
        <f t="shared" si="1"/>
        <v>Elderly</v>
      </c>
      <c r="G9" s="18">
        <f t="shared" si="2"/>
        <v>120000</v>
      </c>
      <c r="H9" s="18">
        <f t="shared" si="3"/>
        <v>12000</v>
      </c>
      <c r="I9" s="19">
        <f t="shared" si="4"/>
        <v>108000</v>
      </c>
      <c r="J9" s="20"/>
    </row>
    <row r="10" spans="2:10" ht="15.75" thickTop="1" x14ac:dyDescent="0.25">
      <c r="B10" s="20"/>
      <c r="C10" s="20"/>
      <c r="D10" s="20"/>
      <c r="E10" s="20"/>
      <c r="F10" s="20"/>
      <c r="G10" s="20"/>
      <c r="H10" s="20"/>
      <c r="I10" s="20"/>
      <c r="J10" s="20"/>
    </row>
    <row r="11" spans="2:10" x14ac:dyDescent="0.25">
      <c r="B11" s="30" t="s">
        <v>79</v>
      </c>
      <c r="C11" s="20"/>
      <c r="D11" s="20"/>
      <c r="E11" s="20"/>
      <c r="F11" s="20"/>
      <c r="G11" s="20"/>
      <c r="H11" s="20"/>
      <c r="I11" s="20"/>
      <c r="J11" s="20"/>
    </row>
    <row r="13" spans="2:10" x14ac:dyDescent="0.25">
      <c r="B13" s="23" t="s">
        <v>80</v>
      </c>
      <c r="C13" s="20"/>
      <c r="D13" s="20"/>
      <c r="E13" s="20"/>
      <c r="F13" s="20"/>
      <c r="G13" s="20"/>
      <c r="H13" s="20"/>
      <c r="I13" s="20"/>
      <c r="J13" s="20"/>
    </row>
    <row r="14" spans="2:10" x14ac:dyDescent="0.25">
      <c r="B14" s="24" t="s">
        <v>81</v>
      </c>
      <c r="C14" s="25" t="s">
        <v>64</v>
      </c>
      <c r="D14" s="25" t="s">
        <v>65</v>
      </c>
      <c r="E14" s="25" t="s">
        <v>66</v>
      </c>
      <c r="F14" s="20"/>
      <c r="G14" s="20"/>
      <c r="H14" s="20"/>
    </row>
    <row r="15" spans="2:10" x14ac:dyDescent="0.25">
      <c r="B15" s="24" t="s">
        <v>75</v>
      </c>
      <c r="C15" s="25" t="s">
        <v>83</v>
      </c>
      <c r="D15" s="25" t="s">
        <v>84</v>
      </c>
      <c r="E15" s="25" t="s">
        <v>67</v>
      </c>
      <c r="F15" s="20"/>
      <c r="G15" s="20"/>
      <c r="H15" s="20"/>
    </row>
    <row r="17" spans="2:8" x14ac:dyDescent="0.25">
      <c r="B17" s="23" t="s">
        <v>82</v>
      </c>
      <c r="C17" s="20"/>
      <c r="D17" s="20"/>
      <c r="E17" s="20"/>
      <c r="F17" s="20"/>
      <c r="G17" s="20"/>
      <c r="H17" s="20"/>
    </row>
    <row r="18" spans="2:8" x14ac:dyDescent="0.25">
      <c r="B18" s="26" t="s">
        <v>76</v>
      </c>
      <c r="C18" s="26" t="s">
        <v>74</v>
      </c>
      <c r="D18" s="26" t="s">
        <v>83</v>
      </c>
      <c r="E18" s="26" t="s">
        <v>84</v>
      </c>
      <c r="F18" s="26" t="s">
        <v>67</v>
      </c>
      <c r="G18" s="20"/>
      <c r="H18" s="20"/>
    </row>
    <row r="19" spans="2:8" x14ac:dyDescent="0.25">
      <c r="B19" s="27" t="s">
        <v>68</v>
      </c>
      <c r="C19" s="25" t="s">
        <v>85</v>
      </c>
      <c r="D19" s="28">
        <v>50000</v>
      </c>
      <c r="E19" s="28">
        <v>70000</v>
      </c>
      <c r="F19" s="28">
        <v>100000</v>
      </c>
      <c r="G19" s="20"/>
      <c r="H19" s="29"/>
    </row>
    <row r="20" spans="2:8" x14ac:dyDescent="0.25">
      <c r="B20" s="27" t="s">
        <v>69</v>
      </c>
      <c r="C20" s="25" t="s">
        <v>86</v>
      </c>
      <c r="D20" s="28">
        <v>75000</v>
      </c>
      <c r="E20" s="28">
        <v>100000</v>
      </c>
      <c r="F20" s="28">
        <v>150000</v>
      </c>
      <c r="G20" s="20"/>
      <c r="H20" s="20"/>
    </row>
    <row r="21" spans="2:8" x14ac:dyDescent="0.25">
      <c r="B21" s="27" t="s">
        <v>70</v>
      </c>
      <c r="C21" s="25" t="s">
        <v>87</v>
      </c>
      <c r="D21" s="28">
        <v>60000</v>
      </c>
      <c r="E21" s="28">
        <v>85000</v>
      </c>
      <c r="F21" s="28">
        <v>120000</v>
      </c>
      <c r="G21" s="20"/>
      <c r="H21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E5B0-7267-4A4C-8BD6-C4188EFC0D33}">
  <dimension ref="B2:R21"/>
  <sheetViews>
    <sheetView topLeftCell="D5" workbookViewId="0">
      <selection activeCell="R17" sqref="R17"/>
    </sheetView>
  </sheetViews>
  <sheetFormatPr defaultRowHeight="15" x14ac:dyDescent="0.25"/>
  <cols>
    <col min="1" max="1" width="9.140625" style="1"/>
    <col min="2" max="2" width="10.7109375" style="1" customWidth="1"/>
    <col min="3" max="3" width="16.85546875" style="1" customWidth="1"/>
    <col min="4" max="4" width="14.85546875" style="1" customWidth="1"/>
    <col min="5" max="5" width="9.140625" style="1"/>
    <col min="6" max="6" width="11.85546875" style="1" customWidth="1"/>
    <col min="7" max="8" width="9.140625" style="1"/>
    <col min="9" max="9" width="7.42578125" style="1" bestFit="1" customWidth="1"/>
    <col min="10" max="10" width="6.7109375" style="1" bestFit="1" customWidth="1"/>
    <col min="11" max="11" width="18.28515625" style="1" bestFit="1" customWidth="1"/>
    <col min="12" max="12" width="11.5703125" style="1" bestFit="1" customWidth="1"/>
    <col min="13" max="13" width="10.5703125" style="1" bestFit="1" customWidth="1"/>
    <col min="14" max="14" width="16.5703125" style="1" customWidth="1"/>
    <col min="15" max="15" width="15.140625" style="1" bestFit="1" customWidth="1"/>
    <col min="16" max="16" width="11.85546875" style="1" bestFit="1" customWidth="1"/>
    <col min="17" max="17" width="22" style="1" bestFit="1" customWidth="1"/>
    <col min="18" max="18" width="15.140625" style="1" bestFit="1" customWidth="1"/>
    <col min="19" max="16384" width="9.140625" style="1"/>
  </cols>
  <sheetData>
    <row r="2" spans="2:18" ht="15.75" thickBot="1" x14ac:dyDescent="0.3">
      <c r="B2" s="42" t="s">
        <v>127</v>
      </c>
      <c r="C2" s="42" t="s">
        <v>93</v>
      </c>
      <c r="D2" s="42" t="s">
        <v>128</v>
      </c>
      <c r="F2" s="1" t="s">
        <v>140</v>
      </c>
      <c r="G2" s="1" t="s">
        <v>134</v>
      </c>
    </row>
    <row r="3" spans="2:18" ht="16.5" thickBot="1" x14ac:dyDescent="0.3">
      <c r="B3" s="43" t="s">
        <v>68</v>
      </c>
      <c r="C3" s="44" t="s">
        <v>129</v>
      </c>
      <c r="D3" s="45">
        <v>2500000</v>
      </c>
      <c r="F3" s="1" t="s">
        <v>141</v>
      </c>
      <c r="G3" s="1" t="s">
        <v>135</v>
      </c>
      <c r="L3" s="2">
        <v>1</v>
      </c>
      <c r="M3" s="2">
        <v>2</v>
      </c>
      <c r="N3" s="2">
        <v>3</v>
      </c>
      <c r="O3" s="2">
        <v>4</v>
      </c>
      <c r="Q3" s="2">
        <v>5</v>
      </c>
      <c r="R3" s="2">
        <v>6</v>
      </c>
    </row>
    <row r="4" spans="2:18" x14ac:dyDescent="0.25">
      <c r="B4" s="43" t="s">
        <v>130</v>
      </c>
      <c r="C4" s="44" t="s">
        <v>131</v>
      </c>
      <c r="D4" s="45">
        <v>2300000</v>
      </c>
      <c r="E4" s="1" t="s">
        <v>139</v>
      </c>
      <c r="F4" s="1" t="s">
        <v>144</v>
      </c>
      <c r="G4" s="1" t="s">
        <v>100</v>
      </c>
      <c r="I4" s="31" t="s">
        <v>88</v>
      </c>
      <c r="J4" s="31" t="s">
        <v>89</v>
      </c>
      <c r="K4" s="31" t="s">
        <v>90</v>
      </c>
      <c r="L4" s="31" t="s">
        <v>91</v>
      </c>
      <c r="M4" s="31" t="s">
        <v>92</v>
      </c>
      <c r="N4" s="31" t="s">
        <v>93</v>
      </c>
      <c r="O4" s="31" t="s">
        <v>94</v>
      </c>
      <c r="P4" s="31" t="s">
        <v>95</v>
      </c>
      <c r="Q4" s="31" t="s">
        <v>96</v>
      </c>
      <c r="R4" s="31" t="s">
        <v>97</v>
      </c>
    </row>
    <row r="5" spans="2:18" x14ac:dyDescent="0.25">
      <c r="B5" s="43" t="s">
        <v>132</v>
      </c>
      <c r="C5" s="44" t="s">
        <v>102</v>
      </c>
      <c r="D5" s="45">
        <v>2000000</v>
      </c>
      <c r="I5" s="32" t="s">
        <v>2</v>
      </c>
      <c r="J5" s="32" t="s">
        <v>98</v>
      </c>
      <c r="K5" s="9" t="s">
        <v>99</v>
      </c>
      <c r="L5" s="33" t="s">
        <v>100</v>
      </c>
      <c r="M5" s="33" t="s">
        <v>101</v>
      </c>
      <c r="N5" s="8" t="s">
        <v>102</v>
      </c>
      <c r="O5" s="34">
        <v>2000000</v>
      </c>
      <c r="P5" s="32">
        <v>2</v>
      </c>
      <c r="Q5" s="35">
        <v>50000</v>
      </c>
      <c r="R5" s="34">
        <v>2050000</v>
      </c>
    </row>
    <row r="6" spans="2:18" x14ac:dyDescent="0.25">
      <c r="B6" s="43" t="s">
        <v>69</v>
      </c>
      <c r="C6" s="44" t="s">
        <v>133</v>
      </c>
      <c r="D6" s="45">
        <v>2600000</v>
      </c>
      <c r="F6" s="1" t="s">
        <v>142</v>
      </c>
      <c r="G6" s="1" t="s">
        <v>138</v>
      </c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2:18" x14ac:dyDescent="0.25">
      <c r="F7" s="1" t="s">
        <v>143</v>
      </c>
      <c r="G7" s="1" t="s">
        <v>101</v>
      </c>
      <c r="I7" s="32">
        <v>1</v>
      </c>
      <c r="J7" s="32" t="s">
        <v>103</v>
      </c>
      <c r="K7" s="9" t="s">
        <v>104</v>
      </c>
      <c r="L7" s="33" t="str">
        <f>VLOOKUP("Kode = "&amp;MID(J7,3,1),$F$2:$G$4,2,0)</f>
        <v>Kepala</v>
      </c>
      <c r="M7" s="33" t="str">
        <f>VLOOKUP("Kode = "&amp;RIGHT(J7,1),$F$6:$G$7,2,0)</f>
        <v>Married</v>
      </c>
      <c r="N7" s="8" t="str">
        <f>VLOOKUP(LEFT(J7,1),$B$3:$D$6,2,0)</f>
        <v>Distributor</v>
      </c>
      <c r="O7" s="34">
        <f>VLOOKUP(LEFT(J7,1),$B$3:$D$6,3,0)</f>
        <v>2500000</v>
      </c>
      <c r="P7" s="32">
        <v>2</v>
      </c>
      <c r="Q7" s="35">
        <f>$C$9*P7</f>
        <v>50000</v>
      </c>
      <c r="R7" s="34">
        <f>O7+Q7</f>
        <v>2550000</v>
      </c>
    </row>
    <row r="8" spans="2:18" x14ac:dyDescent="0.25">
      <c r="I8" s="32">
        <v>2</v>
      </c>
      <c r="J8" s="32" t="s">
        <v>105</v>
      </c>
      <c r="K8" s="9" t="s">
        <v>106</v>
      </c>
      <c r="L8" s="33" t="str">
        <f t="shared" ref="L8:L16" si="0">VLOOKUP("Kode = "&amp;MID(J8,3,1),$F$2:$G$4,2,0)</f>
        <v>Staff</v>
      </c>
      <c r="M8" s="33" t="str">
        <f t="shared" ref="M8:M16" si="1">VLOOKUP("Kode = "&amp;RIGHT(J8,1),$F$6:$G$7,2,0)</f>
        <v>Married</v>
      </c>
      <c r="N8" s="8" t="str">
        <f t="shared" ref="N8:N16" si="2">VLOOKUP(LEFT(J8,1),$B$3:$D$6,2,0)</f>
        <v>Distributor</v>
      </c>
      <c r="O8" s="34">
        <f t="shared" ref="O8:O16" si="3">VLOOKUP(LEFT(J8,1),$B$3:$D$6,3,0)</f>
        <v>2500000</v>
      </c>
      <c r="P8" s="32">
        <v>3</v>
      </c>
      <c r="Q8" s="35">
        <f t="shared" ref="Q8:Q16" si="4">$C$9*P8</f>
        <v>75000</v>
      </c>
      <c r="R8" s="34">
        <f>O7+Q7</f>
        <v>2550000</v>
      </c>
    </row>
    <row r="9" spans="2:18" x14ac:dyDescent="0.25">
      <c r="B9" s="46" t="s">
        <v>145</v>
      </c>
      <c r="C9" s="47">
        <v>25000</v>
      </c>
      <c r="I9" s="32">
        <v>3</v>
      </c>
      <c r="J9" s="32" t="s">
        <v>107</v>
      </c>
      <c r="K9" s="9" t="s">
        <v>108</v>
      </c>
      <c r="L9" s="33" t="str">
        <f t="shared" si="0"/>
        <v>Kepala</v>
      </c>
      <c r="M9" s="33" t="str">
        <f t="shared" si="1"/>
        <v>Single</v>
      </c>
      <c r="N9" s="8" t="str">
        <f t="shared" si="2"/>
        <v>Engineering</v>
      </c>
      <c r="O9" s="34">
        <f t="shared" si="3"/>
        <v>2300000</v>
      </c>
      <c r="P9" s="32">
        <v>0</v>
      </c>
      <c r="Q9" s="35">
        <f t="shared" si="4"/>
        <v>0</v>
      </c>
      <c r="R9" s="34">
        <f t="shared" ref="R9:R16" si="5">O8+Q8</f>
        <v>2575000</v>
      </c>
    </row>
    <row r="10" spans="2:18" x14ac:dyDescent="0.25">
      <c r="I10" s="32">
        <v>4</v>
      </c>
      <c r="J10" s="32" t="s">
        <v>109</v>
      </c>
      <c r="K10" s="9" t="s">
        <v>110</v>
      </c>
      <c r="L10" s="33" t="str">
        <f t="shared" si="0"/>
        <v>Operator</v>
      </c>
      <c r="M10" s="33" t="str">
        <f t="shared" si="1"/>
        <v>Married</v>
      </c>
      <c r="N10" s="8" t="str">
        <f t="shared" si="2"/>
        <v>Engineering</v>
      </c>
      <c r="O10" s="34">
        <f t="shared" si="3"/>
        <v>2300000</v>
      </c>
      <c r="P10" s="32">
        <v>1</v>
      </c>
      <c r="Q10" s="35">
        <f t="shared" si="4"/>
        <v>25000</v>
      </c>
      <c r="R10" s="34">
        <f t="shared" si="5"/>
        <v>2300000</v>
      </c>
    </row>
    <row r="11" spans="2:18" x14ac:dyDescent="0.25">
      <c r="I11" s="32">
        <v>5</v>
      </c>
      <c r="J11" s="32" t="s">
        <v>111</v>
      </c>
      <c r="K11" s="9" t="s">
        <v>112</v>
      </c>
      <c r="L11" s="33" t="str">
        <f t="shared" si="0"/>
        <v>Operator</v>
      </c>
      <c r="M11" s="33" t="str">
        <f t="shared" si="1"/>
        <v>Single</v>
      </c>
      <c r="N11" s="8" t="str">
        <f t="shared" si="2"/>
        <v>Distributor</v>
      </c>
      <c r="O11" s="34">
        <f t="shared" si="3"/>
        <v>2500000</v>
      </c>
      <c r="P11" s="32">
        <v>0</v>
      </c>
      <c r="Q11" s="35">
        <f t="shared" si="4"/>
        <v>0</v>
      </c>
      <c r="R11" s="34">
        <f t="shared" si="5"/>
        <v>2325000</v>
      </c>
    </row>
    <row r="12" spans="2:18" x14ac:dyDescent="0.25">
      <c r="I12" s="32">
        <v>6</v>
      </c>
      <c r="J12" s="32" t="s">
        <v>113</v>
      </c>
      <c r="K12" s="9" t="s">
        <v>114</v>
      </c>
      <c r="L12" s="33" t="str">
        <f t="shared" si="0"/>
        <v>Operator</v>
      </c>
      <c r="M12" s="33" t="str">
        <f t="shared" si="1"/>
        <v>Married</v>
      </c>
      <c r="N12" s="8" t="str">
        <f t="shared" si="2"/>
        <v>Quality Control</v>
      </c>
      <c r="O12" s="34">
        <f t="shared" si="3"/>
        <v>2600000</v>
      </c>
      <c r="P12" s="32">
        <v>3</v>
      </c>
      <c r="Q12" s="35">
        <f t="shared" si="4"/>
        <v>75000</v>
      </c>
      <c r="R12" s="34">
        <f t="shared" si="5"/>
        <v>2500000</v>
      </c>
    </row>
    <row r="13" spans="2:18" x14ac:dyDescent="0.25">
      <c r="I13" s="32">
        <v>7</v>
      </c>
      <c r="J13" s="32" t="s">
        <v>115</v>
      </c>
      <c r="K13" s="9" t="s">
        <v>116</v>
      </c>
      <c r="L13" s="33" t="str">
        <f t="shared" si="0"/>
        <v>Staff</v>
      </c>
      <c r="M13" s="33" t="str">
        <f t="shared" si="1"/>
        <v>Single</v>
      </c>
      <c r="N13" s="8" t="str">
        <f t="shared" si="2"/>
        <v>Quality Control</v>
      </c>
      <c r="O13" s="34">
        <f t="shared" si="3"/>
        <v>2600000</v>
      </c>
      <c r="P13" s="32">
        <v>0</v>
      </c>
      <c r="Q13" s="35">
        <f t="shared" si="4"/>
        <v>0</v>
      </c>
      <c r="R13" s="34">
        <f t="shared" si="5"/>
        <v>2675000</v>
      </c>
    </row>
    <row r="14" spans="2:18" x14ac:dyDescent="0.25">
      <c r="I14" s="32">
        <v>8</v>
      </c>
      <c r="J14" s="32" t="s">
        <v>117</v>
      </c>
      <c r="K14" s="9" t="s">
        <v>6</v>
      </c>
      <c r="L14" s="33" t="str">
        <f t="shared" si="0"/>
        <v>Staff</v>
      </c>
      <c r="M14" s="33" t="str">
        <f t="shared" si="1"/>
        <v>Single</v>
      </c>
      <c r="N14" s="8" t="str">
        <f t="shared" si="2"/>
        <v>Engineering</v>
      </c>
      <c r="O14" s="34">
        <f t="shared" si="3"/>
        <v>2300000</v>
      </c>
      <c r="P14" s="32">
        <v>0</v>
      </c>
      <c r="Q14" s="35">
        <f t="shared" si="4"/>
        <v>0</v>
      </c>
      <c r="R14" s="34">
        <f t="shared" si="5"/>
        <v>2600000</v>
      </c>
    </row>
    <row r="15" spans="2:18" x14ac:dyDescent="0.25">
      <c r="I15" s="32">
        <v>9</v>
      </c>
      <c r="J15" s="32" t="s">
        <v>118</v>
      </c>
      <c r="K15" s="9" t="s">
        <v>119</v>
      </c>
      <c r="L15" s="33" t="str">
        <f t="shared" si="0"/>
        <v>Staff</v>
      </c>
      <c r="M15" s="33" t="str">
        <f t="shared" si="1"/>
        <v>Married</v>
      </c>
      <c r="N15" s="8" t="str">
        <f t="shared" si="2"/>
        <v>Produksi</v>
      </c>
      <c r="O15" s="34">
        <f t="shared" si="3"/>
        <v>2000000</v>
      </c>
      <c r="P15" s="32">
        <v>1</v>
      </c>
      <c r="Q15" s="35">
        <f t="shared" si="4"/>
        <v>25000</v>
      </c>
      <c r="R15" s="34">
        <f t="shared" si="5"/>
        <v>2300000</v>
      </c>
    </row>
    <row r="16" spans="2:18" x14ac:dyDescent="0.25">
      <c r="I16" s="32">
        <v>10</v>
      </c>
      <c r="J16" s="32" t="s">
        <v>120</v>
      </c>
      <c r="K16" s="9" t="s">
        <v>121</v>
      </c>
      <c r="L16" s="33" t="str">
        <f t="shared" si="0"/>
        <v>Kepala</v>
      </c>
      <c r="M16" s="33" t="str">
        <f t="shared" si="1"/>
        <v>Married</v>
      </c>
      <c r="N16" s="8" t="str">
        <f t="shared" si="2"/>
        <v>Produksi</v>
      </c>
      <c r="O16" s="34">
        <f t="shared" si="3"/>
        <v>2000000</v>
      </c>
      <c r="P16" s="32">
        <v>0</v>
      </c>
      <c r="Q16" s="35">
        <f t="shared" si="4"/>
        <v>0</v>
      </c>
      <c r="R16" s="34">
        <f t="shared" si="5"/>
        <v>2025000</v>
      </c>
    </row>
    <row r="17" spans="9:18" x14ac:dyDescent="0.25">
      <c r="I17" s="36"/>
      <c r="J17" s="37"/>
      <c r="K17" s="37"/>
      <c r="L17" s="37"/>
      <c r="M17" s="37"/>
      <c r="N17" s="37"/>
      <c r="O17" s="37"/>
      <c r="P17" s="37"/>
      <c r="Q17" s="38" t="s">
        <v>122</v>
      </c>
      <c r="R17" s="39">
        <f>SUM(R7:R16)</f>
        <v>24400000</v>
      </c>
    </row>
    <row r="18" spans="9:18" x14ac:dyDescent="0.25">
      <c r="I18" s="36"/>
      <c r="J18" s="37"/>
      <c r="K18" s="37"/>
      <c r="L18" s="37"/>
      <c r="M18" s="37"/>
      <c r="N18" s="37"/>
      <c r="O18" s="37"/>
      <c r="P18" s="37"/>
      <c r="Q18" s="38" t="s">
        <v>123</v>
      </c>
      <c r="R18" s="39">
        <f>MAX(R7:R16)</f>
        <v>2675000</v>
      </c>
    </row>
    <row r="19" spans="9:18" x14ac:dyDescent="0.25">
      <c r="P19" s="37"/>
      <c r="Q19" s="38" t="s">
        <v>124</v>
      </c>
      <c r="R19" s="39">
        <f>MIN(R7:R16)</f>
        <v>2025000</v>
      </c>
    </row>
    <row r="20" spans="9:18" x14ac:dyDescent="0.25">
      <c r="P20" s="37"/>
      <c r="Q20" s="38" t="s">
        <v>125</v>
      </c>
      <c r="R20" s="39">
        <f>AVERAGE(R7:R16)</f>
        <v>2440000</v>
      </c>
    </row>
    <row r="21" spans="9:18" x14ac:dyDescent="0.25">
      <c r="P21" s="37"/>
      <c r="Q21" s="38" t="s">
        <v>126</v>
      </c>
      <c r="R21" s="40">
        <f>COUNT(R7:R16)</f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6A3E-D9DD-4967-A24F-F946612DFC3D}">
  <dimension ref="B2:N27"/>
  <sheetViews>
    <sheetView topLeftCell="E1" zoomScale="80" zoomScaleNormal="80" workbookViewId="0">
      <selection activeCell="N19" sqref="N19"/>
    </sheetView>
  </sheetViews>
  <sheetFormatPr defaultRowHeight="15" x14ac:dyDescent="0.25"/>
  <cols>
    <col min="1" max="1" width="9.140625" style="1"/>
    <col min="2" max="2" width="18" style="1" customWidth="1"/>
    <col min="3" max="3" width="21.85546875" style="1" customWidth="1"/>
    <col min="4" max="4" width="12.5703125" style="1" customWidth="1"/>
    <col min="5" max="5" width="9.140625" style="1"/>
    <col min="6" max="6" width="12.85546875" style="1" bestFit="1" customWidth="1"/>
    <col min="7" max="7" width="19" style="1" customWidth="1"/>
    <col min="8" max="8" width="10.28515625" style="1" customWidth="1"/>
    <col min="9" max="9" width="24" style="1" customWidth="1"/>
    <col min="10" max="10" width="18.5703125" style="1" customWidth="1"/>
    <col min="11" max="11" width="19.85546875" style="1" bestFit="1" customWidth="1"/>
    <col min="12" max="12" width="15.140625" style="1" bestFit="1" customWidth="1"/>
    <col min="13" max="13" width="22.85546875" style="1" customWidth="1"/>
    <col min="14" max="14" width="17.5703125" style="1" customWidth="1"/>
    <col min="15" max="16384" width="9.140625" style="1"/>
  </cols>
  <sheetData>
    <row r="2" spans="2:14" x14ac:dyDescent="0.25">
      <c r="B2" s="1" t="s">
        <v>147</v>
      </c>
    </row>
    <row r="3" spans="2:14" x14ac:dyDescent="0.25">
      <c r="F3" s="71" t="s">
        <v>88</v>
      </c>
      <c r="G3" s="71" t="s">
        <v>127</v>
      </c>
      <c r="H3" s="71" t="s">
        <v>150</v>
      </c>
      <c r="I3" s="31" t="s">
        <v>151</v>
      </c>
      <c r="J3" s="31" t="s">
        <v>152</v>
      </c>
      <c r="K3" s="31" t="s">
        <v>153</v>
      </c>
      <c r="L3" s="31" t="s">
        <v>148</v>
      </c>
      <c r="M3" s="31" t="s">
        <v>154</v>
      </c>
      <c r="N3" s="31" t="s">
        <v>155</v>
      </c>
    </row>
    <row r="4" spans="2:14" x14ac:dyDescent="0.25">
      <c r="B4" s="1" t="s">
        <v>148</v>
      </c>
      <c r="F4" s="70">
        <v>1</v>
      </c>
      <c r="G4" s="73" t="s">
        <v>156</v>
      </c>
      <c r="H4" s="75">
        <v>7</v>
      </c>
      <c r="I4" s="33" t="str">
        <f>VLOOKUP(LEFT(G4,2),$F$16:$G$24,2,0)&amp;"-"&amp;HLOOKUP(RIGHT(G4,2),$G$26:$M$27,2,0)</f>
        <v>Televisi-LG</v>
      </c>
      <c r="J4" s="49">
        <f>VALUE(MID(G4,4,2))*VLOOKUP(MID(G4,7,3),$I$17:$K$21,3,0)</f>
        <v>1980000</v>
      </c>
      <c r="K4" s="35">
        <f>H4*(J4+(25%*J4))</f>
        <v>17325000</v>
      </c>
      <c r="L4" s="35">
        <f>IF(K4&gt;=10000000,K4*25%,IF(K4&gt;=8000000,K4*20%,IF(K4&gt;=5000000,K4*15%,IF(K4&gt;=3000000,K4*10%,IF(K4&gt;=2000000,K4*5%,0)))))</f>
        <v>4331250</v>
      </c>
      <c r="M4" s="50" t="str">
        <f>IF(AND(K4&gt;=5000000,L4&gt;=2000000),"Power Bank",IF(AND(K4&gt;=2000000,L4&gt;=500000),"TWS",IF(AND(K4&lt;2000000,L4&lt;500000),"Voucher","-")))</f>
        <v>Power Bank</v>
      </c>
      <c r="N4" s="35">
        <f>K4-L4</f>
        <v>12993750</v>
      </c>
    </row>
    <row r="5" spans="2:14" x14ac:dyDescent="0.25">
      <c r="F5" s="70">
        <v>2</v>
      </c>
      <c r="G5" s="73" t="s">
        <v>157</v>
      </c>
      <c r="H5" s="75">
        <v>6</v>
      </c>
      <c r="I5" s="33" t="str">
        <f t="shared" ref="I5:I13" si="0">VLOOKUP(LEFT(G5,2),$F$16:$G$24,2,0)&amp;"-"&amp;HLOOKUP(RIGHT(G5,2),$G$26:$M$27,2,0)</f>
        <v>Handphone-Samsung</v>
      </c>
      <c r="J5" s="49">
        <f t="shared" ref="J5:J13" si="1">VALUE(MID(G5,4,2))*VLOOKUP(MID(G5,7,3),$I$17:$K$21,3,0)</f>
        <v>1125000</v>
      </c>
      <c r="K5" s="35">
        <f t="shared" ref="K5:K13" si="2">H5*(J5+(25%*J5))</f>
        <v>8437500</v>
      </c>
      <c r="L5" s="35">
        <f t="shared" ref="L5:L13" si="3">IF(K5&gt;=10000000,K5*25%,IF(K5&gt;=8000000,K5*20%,IF(K5&gt;=5000000,K5*15%,IF(K5&gt;=3000000,K5*10%,IF(K5&gt;=2000000,K5*5%,0)))))</f>
        <v>1687500</v>
      </c>
      <c r="M5" s="50" t="str">
        <f t="shared" ref="M5:M13" si="4">IF(AND(K5&gt;=5000000,L5&gt;=2000000),"Power Bank",IF(AND(K5&gt;=2000000,L5&gt;=500000),"TWS",IF(AND(K5&lt;2000000,L5&lt;500000),"Voucher","-")))</f>
        <v>TWS</v>
      </c>
      <c r="N5" s="35">
        <f t="shared" ref="N5:N13" si="5">K5-L5</f>
        <v>6750000</v>
      </c>
    </row>
    <row r="6" spans="2:14" x14ac:dyDescent="0.25">
      <c r="B6" s="48">
        <v>0.25</v>
      </c>
      <c r="C6" s="1" t="s">
        <v>221</v>
      </c>
      <c r="F6" s="70">
        <v>3</v>
      </c>
      <c r="G6" s="73" t="s">
        <v>158</v>
      </c>
      <c r="H6" s="75">
        <v>4</v>
      </c>
      <c r="I6" s="33" t="str">
        <f t="shared" si="0"/>
        <v>Televisi-Panasonic</v>
      </c>
      <c r="J6" s="49">
        <f t="shared" si="1"/>
        <v>1478400</v>
      </c>
      <c r="K6" s="35">
        <f t="shared" si="2"/>
        <v>7392000</v>
      </c>
      <c r="L6" s="35">
        <f t="shared" si="3"/>
        <v>1108800</v>
      </c>
      <c r="M6" s="50" t="str">
        <f t="shared" si="4"/>
        <v>TWS</v>
      </c>
      <c r="N6" s="35">
        <f t="shared" si="5"/>
        <v>6283200</v>
      </c>
    </row>
    <row r="7" spans="2:14" x14ac:dyDescent="0.25">
      <c r="B7" s="48">
        <v>0.2</v>
      </c>
      <c r="C7" s="1" t="s">
        <v>217</v>
      </c>
      <c r="F7" s="70">
        <v>4</v>
      </c>
      <c r="G7" s="73" t="s">
        <v>159</v>
      </c>
      <c r="H7" s="75">
        <v>5</v>
      </c>
      <c r="I7" s="33" t="str">
        <f t="shared" si="0"/>
        <v>AC-Panasonic</v>
      </c>
      <c r="J7" s="49">
        <f t="shared" si="1"/>
        <v>1460000</v>
      </c>
      <c r="K7" s="35">
        <f t="shared" si="2"/>
        <v>9125000</v>
      </c>
      <c r="L7" s="35">
        <f t="shared" si="3"/>
        <v>1825000</v>
      </c>
      <c r="M7" s="50" t="str">
        <f t="shared" si="4"/>
        <v>TWS</v>
      </c>
      <c r="N7" s="35">
        <f t="shared" si="5"/>
        <v>7300000</v>
      </c>
    </row>
    <row r="8" spans="2:14" x14ac:dyDescent="0.25">
      <c r="B8" s="48">
        <v>0.15</v>
      </c>
      <c r="C8" s="1" t="s">
        <v>218</v>
      </c>
      <c r="F8" s="70">
        <v>5</v>
      </c>
      <c r="G8" s="73" t="s">
        <v>160</v>
      </c>
      <c r="H8" s="75">
        <v>3</v>
      </c>
      <c r="I8" s="33" t="str">
        <f t="shared" si="0"/>
        <v>Kulkas-Philips</v>
      </c>
      <c r="J8" s="49">
        <f t="shared" si="1"/>
        <v>1226400</v>
      </c>
      <c r="K8" s="35">
        <f t="shared" si="2"/>
        <v>4599000</v>
      </c>
      <c r="L8" s="35">
        <f t="shared" si="3"/>
        <v>459900</v>
      </c>
      <c r="M8" s="50" t="str">
        <f t="shared" si="4"/>
        <v>-</v>
      </c>
      <c r="N8" s="35">
        <f t="shared" si="5"/>
        <v>4139100</v>
      </c>
    </row>
    <row r="9" spans="2:14" x14ac:dyDescent="0.25">
      <c r="B9" s="48">
        <v>0.1</v>
      </c>
      <c r="C9" s="1" t="s">
        <v>219</v>
      </c>
      <c r="F9" s="70">
        <v>6</v>
      </c>
      <c r="G9" s="73" t="s">
        <v>161</v>
      </c>
      <c r="H9" s="75">
        <v>2</v>
      </c>
      <c r="I9" s="33" t="str">
        <f t="shared" si="0"/>
        <v>Laptop-Sony</v>
      </c>
      <c r="J9" s="49">
        <f t="shared" si="1"/>
        <v>1190000</v>
      </c>
      <c r="K9" s="35">
        <f t="shared" si="2"/>
        <v>2975000</v>
      </c>
      <c r="L9" s="35">
        <f t="shared" si="3"/>
        <v>148750</v>
      </c>
      <c r="M9" s="50" t="str">
        <f t="shared" si="4"/>
        <v>-</v>
      </c>
      <c r="N9" s="35">
        <f t="shared" si="5"/>
        <v>2826250</v>
      </c>
    </row>
    <row r="10" spans="2:14" x14ac:dyDescent="0.25">
      <c r="B10" s="48">
        <v>0.05</v>
      </c>
      <c r="C10" s="1" t="s">
        <v>220</v>
      </c>
      <c r="F10" s="70">
        <v>7</v>
      </c>
      <c r="G10" s="73" t="s">
        <v>162</v>
      </c>
      <c r="H10" s="75">
        <v>4</v>
      </c>
      <c r="I10" s="33" t="str">
        <f t="shared" si="0"/>
        <v>Kulkas-Sharp</v>
      </c>
      <c r="J10" s="49">
        <f t="shared" si="1"/>
        <v>1116000</v>
      </c>
      <c r="K10" s="35">
        <f t="shared" si="2"/>
        <v>5580000</v>
      </c>
      <c r="L10" s="35">
        <f t="shared" si="3"/>
        <v>837000</v>
      </c>
      <c r="M10" s="50" t="str">
        <f t="shared" si="4"/>
        <v>TWS</v>
      </c>
      <c r="N10" s="35">
        <f t="shared" si="5"/>
        <v>4743000</v>
      </c>
    </row>
    <row r="11" spans="2:14" x14ac:dyDescent="0.25">
      <c r="B11" s="48">
        <v>0</v>
      </c>
      <c r="C11" s="1" t="s">
        <v>149</v>
      </c>
      <c r="F11" s="70">
        <v>8</v>
      </c>
      <c r="G11" s="73" t="s">
        <v>163</v>
      </c>
      <c r="H11" s="75">
        <v>1</v>
      </c>
      <c r="I11" s="33" t="str">
        <f t="shared" si="0"/>
        <v>Kipas-Philips</v>
      </c>
      <c r="J11" s="49">
        <f t="shared" si="1"/>
        <v>492000</v>
      </c>
      <c r="K11" s="35">
        <f t="shared" si="2"/>
        <v>615000</v>
      </c>
      <c r="L11" s="35">
        <f t="shared" si="3"/>
        <v>0</v>
      </c>
      <c r="M11" s="50" t="str">
        <f t="shared" si="4"/>
        <v>Voucher</v>
      </c>
      <c r="N11" s="35">
        <f t="shared" si="5"/>
        <v>615000</v>
      </c>
    </row>
    <row r="12" spans="2:14" x14ac:dyDescent="0.25">
      <c r="F12" s="70">
        <v>9</v>
      </c>
      <c r="G12" s="73" t="s">
        <v>164</v>
      </c>
      <c r="H12" s="75">
        <v>7</v>
      </c>
      <c r="I12" s="33" t="str">
        <f t="shared" si="0"/>
        <v>Mesin Cuci-Philips</v>
      </c>
      <c r="J12" s="49">
        <f t="shared" si="1"/>
        <v>1680000</v>
      </c>
      <c r="K12" s="35">
        <f t="shared" si="2"/>
        <v>14700000</v>
      </c>
      <c r="L12" s="35">
        <f t="shared" si="3"/>
        <v>3675000</v>
      </c>
      <c r="M12" s="50" t="str">
        <f t="shared" si="4"/>
        <v>Power Bank</v>
      </c>
      <c r="N12" s="35">
        <f t="shared" si="5"/>
        <v>11025000</v>
      </c>
    </row>
    <row r="13" spans="2:14" x14ac:dyDescent="0.25">
      <c r="B13" s="1" t="s">
        <v>154</v>
      </c>
      <c r="F13" s="72">
        <v>10</v>
      </c>
      <c r="G13" s="74" t="s">
        <v>165</v>
      </c>
      <c r="H13" s="76">
        <v>5</v>
      </c>
      <c r="I13" s="33" t="str">
        <f t="shared" si="0"/>
        <v>Tablet-Samsung</v>
      </c>
      <c r="J13" s="49">
        <f t="shared" si="1"/>
        <v>1104000</v>
      </c>
      <c r="K13" s="35">
        <f t="shared" si="2"/>
        <v>6900000</v>
      </c>
      <c r="L13" s="35">
        <f t="shared" si="3"/>
        <v>1035000</v>
      </c>
      <c r="M13" s="50" t="str">
        <f t="shared" si="4"/>
        <v>TWS</v>
      </c>
      <c r="N13" s="35">
        <f t="shared" si="5"/>
        <v>5865000</v>
      </c>
    </row>
    <row r="14" spans="2:14" x14ac:dyDescent="0.25">
      <c r="B14" s="1" t="s">
        <v>146</v>
      </c>
      <c r="C14" s="1" t="s">
        <v>499</v>
      </c>
      <c r="F14" s="51"/>
      <c r="G14" s="52"/>
      <c r="H14" s="52"/>
      <c r="I14" s="52"/>
      <c r="J14" s="52"/>
      <c r="M14" s="77" t="s">
        <v>166</v>
      </c>
      <c r="N14" s="53">
        <f>SUM(N4:N13)</f>
        <v>62540300</v>
      </c>
    </row>
    <row r="15" spans="2:14" ht="15.75" thickBot="1" x14ac:dyDescent="0.3">
      <c r="B15" s="1" t="s">
        <v>218</v>
      </c>
      <c r="C15" s="1" t="s">
        <v>220</v>
      </c>
      <c r="D15" s="1" t="s">
        <v>529</v>
      </c>
      <c r="F15" s="54" t="s">
        <v>167</v>
      </c>
      <c r="G15" s="54" t="s">
        <v>168</v>
      </c>
      <c r="H15" s="55"/>
      <c r="I15" s="55"/>
      <c r="J15" s="55"/>
      <c r="M15" s="77" t="s">
        <v>169</v>
      </c>
      <c r="N15" s="53">
        <f>MIN(N4:N13)</f>
        <v>615000</v>
      </c>
    </row>
    <row r="16" spans="2:14" ht="15.75" thickBot="1" x14ac:dyDescent="0.3">
      <c r="B16" s="1" t="s">
        <v>220</v>
      </c>
      <c r="C16" s="1" t="s">
        <v>528</v>
      </c>
      <c r="D16" s="1" t="s">
        <v>527</v>
      </c>
      <c r="F16" s="56" t="s">
        <v>170</v>
      </c>
      <c r="G16" s="57" t="s">
        <v>171</v>
      </c>
      <c r="H16" s="55"/>
      <c r="I16" s="58" t="s">
        <v>172</v>
      </c>
      <c r="M16" s="77" t="s">
        <v>173</v>
      </c>
      <c r="N16" s="53">
        <f>MAX(N4:N13)</f>
        <v>12993750</v>
      </c>
    </row>
    <row r="17" spans="2:14" x14ac:dyDescent="0.25">
      <c r="B17" s="1" t="s">
        <v>149</v>
      </c>
      <c r="C17" s="1" t="s">
        <v>531</v>
      </c>
      <c r="D17" s="1" t="s">
        <v>530</v>
      </c>
      <c r="F17" s="56" t="s">
        <v>174</v>
      </c>
      <c r="G17" s="57" t="s">
        <v>175</v>
      </c>
      <c r="H17" s="55"/>
      <c r="I17" s="59" t="s">
        <v>176</v>
      </c>
      <c r="J17" s="60" t="s">
        <v>177</v>
      </c>
      <c r="K17" s="61">
        <v>16800</v>
      </c>
      <c r="M17" s="77" t="s">
        <v>178</v>
      </c>
      <c r="N17" s="53">
        <f>AVERAGE(N4:N13)</f>
        <v>6254030</v>
      </c>
    </row>
    <row r="18" spans="2:14" ht="30" x14ac:dyDescent="0.25">
      <c r="F18" s="56" t="s">
        <v>179</v>
      </c>
      <c r="G18" s="57" t="s">
        <v>180</v>
      </c>
      <c r="H18" s="55"/>
      <c r="I18" s="62" t="s">
        <v>181</v>
      </c>
      <c r="J18" s="63" t="s">
        <v>182</v>
      </c>
      <c r="K18" s="64">
        <v>12000</v>
      </c>
      <c r="M18" s="77" t="s">
        <v>183</v>
      </c>
      <c r="N18" s="65">
        <f>COUNT(N4:N13)</f>
        <v>10</v>
      </c>
    </row>
    <row r="19" spans="2:14" ht="30" x14ac:dyDescent="0.25">
      <c r="F19" s="56" t="s">
        <v>184</v>
      </c>
      <c r="G19" s="57" t="s">
        <v>185</v>
      </c>
      <c r="H19" s="55"/>
      <c r="I19" s="62" t="s">
        <v>186</v>
      </c>
      <c r="J19" s="63" t="s">
        <v>187</v>
      </c>
      <c r="K19" s="64">
        <v>12500</v>
      </c>
    </row>
    <row r="20" spans="2:14" ht="30" x14ac:dyDescent="0.25">
      <c r="F20" s="56" t="s">
        <v>188</v>
      </c>
      <c r="G20" s="57" t="s">
        <v>188</v>
      </c>
      <c r="H20" s="55"/>
      <c r="I20" s="62" t="s">
        <v>189</v>
      </c>
      <c r="J20" s="63" t="s">
        <v>190</v>
      </c>
      <c r="K20" s="64">
        <v>14000</v>
      </c>
    </row>
    <row r="21" spans="2:14" ht="15.75" thickBot="1" x14ac:dyDescent="0.3">
      <c r="F21" s="56" t="s">
        <v>191</v>
      </c>
      <c r="G21" s="57" t="s">
        <v>192</v>
      </c>
      <c r="H21" s="55"/>
      <c r="I21" s="66" t="s">
        <v>193</v>
      </c>
      <c r="J21" s="67" t="s">
        <v>194</v>
      </c>
      <c r="K21" s="68">
        <v>20000</v>
      </c>
    </row>
    <row r="22" spans="2:14" x14ac:dyDescent="0.25">
      <c r="F22" s="56" t="s">
        <v>195</v>
      </c>
      <c r="G22" s="57" t="s">
        <v>196</v>
      </c>
      <c r="H22" s="55"/>
    </row>
    <row r="23" spans="2:14" x14ac:dyDescent="0.25">
      <c r="F23" s="56" t="s">
        <v>197</v>
      </c>
      <c r="G23" s="57" t="s">
        <v>198</v>
      </c>
      <c r="H23" s="55"/>
      <c r="I23" s="55"/>
      <c r="J23" s="55"/>
      <c r="K23" s="55"/>
    </row>
    <row r="24" spans="2:14" x14ac:dyDescent="0.25">
      <c r="F24" s="56" t="s">
        <v>199</v>
      </c>
      <c r="G24" s="57" t="s">
        <v>200</v>
      </c>
      <c r="H24" s="55"/>
      <c r="I24" s="55"/>
      <c r="J24" s="55"/>
    </row>
    <row r="25" spans="2:14" x14ac:dyDescent="0.25">
      <c r="G25" s="55"/>
      <c r="H25" s="55"/>
      <c r="I25" s="55"/>
      <c r="J25" s="55"/>
    </row>
    <row r="26" spans="2:14" x14ac:dyDescent="0.25">
      <c r="F26" s="54" t="s">
        <v>201</v>
      </c>
      <c r="G26" s="69" t="s">
        <v>202</v>
      </c>
      <c r="H26" s="69" t="s">
        <v>203</v>
      </c>
      <c r="I26" s="69" t="s">
        <v>204</v>
      </c>
      <c r="J26" s="69" t="s">
        <v>205</v>
      </c>
      <c r="K26" s="69" t="s">
        <v>206</v>
      </c>
      <c r="L26" s="69" t="s">
        <v>207</v>
      </c>
      <c r="M26" s="69" t="s">
        <v>208</v>
      </c>
    </row>
    <row r="27" spans="2:14" x14ac:dyDescent="0.25">
      <c r="F27" s="54" t="s">
        <v>209</v>
      </c>
      <c r="G27" s="69" t="s">
        <v>210</v>
      </c>
      <c r="H27" s="69" t="s">
        <v>211</v>
      </c>
      <c r="I27" s="69" t="s">
        <v>212</v>
      </c>
      <c r="J27" s="69" t="s">
        <v>213</v>
      </c>
      <c r="K27" s="69" t="s">
        <v>214</v>
      </c>
      <c r="L27" s="69" t="s">
        <v>215</v>
      </c>
      <c r="M27" s="69" t="s">
        <v>216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8612-20C5-413D-8CE3-72671B190640}">
  <dimension ref="B2:O20"/>
  <sheetViews>
    <sheetView topLeftCell="H1" workbookViewId="0">
      <selection activeCell="L4" sqref="L4:L12"/>
    </sheetView>
  </sheetViews>
  <sheetFormatPr defaultRowHeight="15" x14ac:dyDescent="0.25"/>
  <cols>
    <col min="1" max="1" width="9.140625" style="1"/>
    <col min="2" max="2" width="4.28515625" style="1" bestFit="1" customWidth="1"/>
    <col min="3" max="3" width="9.85546875" style="1" bestFit="1" customWidth="1"/>
    <col min="4" max="4" width="5.7109375" style="1" bestFit="1" customWidth="1"/>
    <col min="5" max="5" width="14" style="1" bestFit="1" customWidth="1"/>
    <col min="6" max="6" width="9.85546875" style="1" bestFit="1" customWidth="1"/>
    <col min="7" max="7" width="14.140625" style="1" bestFit="1" customWidth="1"/>
    <col min="8" max="8" width="20.85546875" style="1" bestFit="1" customWidth="1"/>
    <col min="9" max="9" width="17.5703125" style="1" bestFit="1" customWidth="1"/>
    <col min="10" max="10" width="21.28515625" style="1" bestFit="1" customWidth="1"/>
    <col min="11" max="11" width="20.42578125" style="1" bestFit="1" customWidth="1"/>
    <col min="12" max="12" width="25.28515625" style="1" bestFit="1" customWidth="1"/>
    <col min="13" max="13" width="9.140625" style="1"/>
    <col min="14" max="14" width="29" style="1" customWidth="1"/>
    <col min="15" max="15" width="11.140625" style="1" bestFit="1" customWidth="1"/>
    <col min="16" max="16384" width="9.140625" style="1"/>
  </cols>
  <sheetData>
    <row r="2" spans="2:15" ht="27.75" x14ac:dyDescent="0.45">
      <c r="B2" s="78"/>
      <c r="C2" s="79"/>
      <c r="D2" s="79"/>
      <c r="E2" s="80"/>
      <c r="F2" s="78"/>
      <c r="G2" s="78"/>
      <c r="H2" s="78"/>
      <c r="I2" s="80"/>
      <c r="J2" s="80"/>
      <c r="K2" s="80"/>
      <c r="L2" s="80"/>
    </row>
    <row r="3" spans="2:15" ht="15.75" x14ac:dyDescent="0.25">
      <c r="B3" s="81" t="s">
        <v>0</v>
      </c>
      <c r="C3" s="81" t="s">
        <v>222</v>
      </c>
      <c r="D3" s="81" t="s">
        <v>223</v>
      </c>
      <c r="E3" s="81" t="s">
        <v>224</v>
      </c>
      <c r="F3" s="81" t="s">
        <v>225</v>
      </c>
      <c r="G3" s="81" t="s">
        <v>226</v>
      </c>
      <c r="H3" s="81" t="s">
        <v>227</v>
      </c>
      <c r="I3" s="81" t="s">
        <v>228</v>
      </c>
      <c r="J3" s="81" t="s">
        <v>229</v>
      </c>
      <c r="K3" s="81" t="s">
        <v>230</v>
      </c>
      <c r="L3" s="81" t="s">
        <v>231</v>
      </c>
      <c r="N3" s="87" t="s">
        <v>243</v>
      </c>
    </row>
    <row r="4" spans="2:15" ht="15.75" x14ac:dyDescent="0.25">
      <c r="B4" s="82">
        <v>1</v>
      </c>
      <c r="C4" s="83" t="s">
        <v>232</v>
      </c>
      <c r="D4" s="82" t="s">
        <v>68</v>
      </c>
      <c r="E4" s="84">
        <f>VLOOKUP(D4,$N$4:$O$6,2,0)</f>
        <v>1500000</v>
      </c>
      <c r="F4" s="82" t="s">
        <v>233</v>
      </c>
      <c r="G4" s="82">
        <v>2</v>
      </c>
      <c r="H4" s="82">
        <v>5</v>
      </c>
      <c r="I4" s="84">
        <f>IF(G4=0,0,IF(G4=1,$O$9,$O$10))</f>
        <v>600000</v>
      </c>
      <c r="J4" s="84">
        <f>IF(F4="Menikah",$O$13,$O$14)</f>
        <v>500000</v>
      </c>
      <c r="K4" s="84">
        <f>IF(H4&gt;=6,$O$17,$O$18)</f>
        <v>350000</v>
      </c>
      <c r="L4" s="85">
        <f>E4*7.5%</f>
        <v>112500</v>
      </c>
      <c r="N4" s="1" t="s">
        <v>68</v>
      </c>
      <c r="O4" s="41">
        <v>1500000</v>
      </c>
    </row>
    <row r="5" spans="2:15" ht="15.75" x14ac:dyDescent="0.25">
      <c r="B5" s="82">
        <v>2</v>
      </c>
      <c r="C5" s="83" t="s">
        <v>234</v>
      </c>
      <c r="D5" s="82" t="s">
        <v>130</v>
      </c>
      <c r="E5" s="84">
        <f t="shared" ref="E5:E12" si="0">VLOOKUP(D5,$N$4:$O$6,2,0)</f>
        <v>1800000</v>
      </c>
      <c r="F5" s="82" t="s">
        <v>233</v>
      </c>
      <c r="G5" s="82">
        <v>3</v>
      </c>
      <c r="H5" s="82">
        <v>7</v>
      </c>
      <c r="I5" s="84">
        <f t="shared" ref="I5:I12" si="1">IF(G5=0,0,IF(G5=1,$O$9,$O$10))</f>
        <v>600000</v>
      </c>
      <c r="J5" s="84">
        <f t="shared" ref="J5:J12" si="2">IF(F5="Menikah",$O$13,$O$14)</f>
        <v>500000</v>
      </c>
      <c r="K5" s="84">
        <f t="shared" ref="K5:K12" si="3">IF(H5&gt;=6,$O$17,$O$18)</f>
        <v>1000000</v>
      </c>
      <c r="L5" s="85">
        <f t="shared" ref="L5:L12" si="4">E5*7.5%</f>
        <v>135000</v>
      </c>
      <c r="N5" s="1" t="s">
        <v>130</v>
      </c>
      <c r="O5" s="41">
        <v>1800000</v>
      </c>
    </row>
    <row r="6" spans="2:15" ht="15.75" x14ac:dyDescent="0.25">
      <c r="B6" s="82">
        <v>3</v>
      </c>
      <c r="C6" s="83" t="s">
        <v>235</v>
      </c>
      <c r="D6" s="82" t="s">
        <v>68</v>
      </c>
      <c r="E6" s="84">
        <f t="shared" si="0"/>
        <v>1500000</v>
      </c>
      <c r="F6" s="82" t="s">
        <v>236</v>
      </c>
      <c r="G6" s="82">
        <v>0</v>
      </c>
      <c r="H6" s="82">
        <v>6</v>
      </c>
      <c r="I6" s="84">
        <f t="shared" si="1"/>
        <v>0</v>
      </c>
      <c r="J6" s="84">
        <f t="shared" si="2"/>
        <v>400000</v>
      </c>
      <c r="K6" s="84">
        <f t="shared" si="3"/>
        <v>1000000</v>
      </c>
      <c r="L6" s="85">
        <f t="shared" si="4"/>
        <v>112500</v>
      </c>
      <c r="N6" s="1" t="s">
        <v>132</v>
      </c>
      <c r="O6" s="41">
        <v>2000000</v>
      </c>
    </row>
    <row r="7" spans="2:15" ht="15.75" x14ac:dyDescent="0.25">
      <c r="B7" s="82">
        <v>4</v>
      </c>
      <c r="C7" s="83" t="s">
        <v>237</v>
      </c>
      <c r="D7" s="82" t="s">
        <v>130</v>
      </c>
      <c r="E7" s="84">
        <f t="shared" si="0"/>
        <v>1800000</v>
      </c>
      <c r="F7" s="82" t="s">
        <v>236</v>
      </c>
      <c r="G7" s="82">
        <v>0</v>
      </c>
      <c r="H7" s="82">
        <v>6</v>
      </c>
      <c r="I7" s="84">
        <f t="shared" si="1"/>
        <v>0</v>
      </c>
      <c r="J7" s="84">
        <f t="shared" si="2"/>
        <v>400000</v>
      </c>
      <c r="K7" s="84">
        <f t="shared" si="3"/>
        <v>1000000</v>
      </c>
      <c r="L7" s="85">
        <f t="shared" si="4"/>
        <v>135000</v>
      </c>
    </row>
    <row r="8" spans="2:15" ht="15.75" x14ac:dyDescent="0.25">
      <c r="B8" s="82">
        <v>5</v>
      </c>
      <c r="C8" s="83" t="s">
        <v>238</v>
      </c>
      <c r="D8" s="82" t="s">
        <v>132</v>
      </c>
      <c r="E8" s="84">
        <f t="shared" si="0"/>
        <v>2000000</v>
      </c>
      <c r="F8" s="82" t="s">
        <v>236</v>
      </c>
      <c r="G8" s="82">
        <v>0</v>
      </c>
      <c r="H8" s="82">
        <v>5</v>
      </c>
      <c r="I8" s="84">
        <f t="shared" si="1"/>
        <v>0</v>
      </c>
      <c r="J8" s="84">
        <f t="shared" si="2"/>
        <v>400000</v>
      </c>
      <c r="K8" s="84">
        <f t="shared" si="3"/>
        <v>350000</v>
      </c>
      <c r="L8" s="85">
        <f t="shared" si="4"/>
        <v>150000</v>
      </c>
      <c r="N8" s="86" t="s">
        <v>244</v>
      </c>
      <c r="O8" s="41"/>
    </row>
    <row r="9" spans="2:15" ht="15.75" x14ac:dyDescent="0.25">
      <c r="B9" s="82">
        <v>6</v>
      </c>
      <c r="C9" s="83" t="s">
        <v>239</v>
      </c>
      <c r="D9" s="82" t="s">
        <v>132</v>
      </c>
      <c r="E9" s="84">
        <f t="shared" si="0"/>
        <v>2000000</v>
      </c>
      <c r="F9" s="82" t="s">
        <v>233</v>
      </c>
      <c r="G9" s="82">
        <v>2</v>
      </c>
      <c r="H9" s="82">
        <v>4</v>
      </c>
      <c r="I9" s="84">
        <f t="shared" si="1"/>
        <v>600000</v>
      </c>
      <c r="J9" s="84">
        <f t="shared" si="2"/>
        <v>500000</v>
      </c>
      <c r="K9" s="84">
        <f t="shared" si="3"/>
        <v>350000</v>
      </c>
      <c r="L9" s="85">
        <f t="shared" si="4"/>
        <v>150000</v>
      </c>
      <c r="N9" s="89">
        <v>1</v>
      </c>
      <c r="O9" s="41">
        <v>300000</v>
      </c>
    </row>
    <row r="10" spans="2:15" ht="15.75" x14ac:dyDescent="0.25">
      <c r="B10" s="82">
        <v>7</v>
      </c>
      <c r="C10" s="83" t="s">
        <v>240</v>
      </c>
      <c r="D10" s="82" t="s">
        <v>68</v>
      </c>
      <c r="E10" s="84">
        <f t="shared" si="0"/>
        <v>1500000</v>
      </c>
      <c r="F10" s="82" t="s">
        <v>236</v>
      </c>
      <c r="G10" s="82">
        <v>0</v>
      </c>
      <c r="H10" s="82">
        <v>2</v>
      </c>
      <c r="I10" s="84">
        <f t="shared" si="1"/>
        <v>0</v>
      </c>
      <c r="J10" s="84">
        <f t="shared" si="2"/>
        <v>400000</v>
      </c>
      <c r="K10" s="84">
        <f t="shared" si="3"/>
        <v>350000</v>
      </c>
      <c r="L10" s="85">
        <f t="shared" si="4"/>
        <v>112500</v>
      </c>
      <c r="N10" s="89" t="s">
        <v>249</v>
      </c>
      <c r="O10" s="41">
        <v>600000</v>
      </c>
    </row>
    <row r="11" spans="2:15" ht="15.75" x14ac:dyDescent="0.25">
      <c r="B11" s="82">
        <v>8</v>
      </c>
      <c r="C11" s="83" t="s">
        <v>241</v>
      </c>
      <c r="D11" s="82" t="s">
        <v>130</v>
      </c>
      <c r="E11" s="84">
        <f t="shared" si="0"/>
        <v>1800000</v>
      </c>
      <c r="F11" s="82" t="s">
        <v>233</v>
      </c>
      <c r="G11" s="82">
        <v>4</v>
      </c>
      <c r="H11" s="82">
        <v>5</v>
      </c>
      <c r="I11" s="84">
        <f t="shared" si="1"/>
        <v>600000</v>
      </c>
      <c r="J11" s="84">
        <f t="shared" si="2"/>
        <v>500000</v>
      </c>
      <c r="K11" s="84">
        <f t="shared" si="3"/>
        <v>350000</v>
      </c>
      <c r="L11" s="85">
        <f t="shared" si="4"/>
        <v>135000</v>
      </c>
    </row>
    <row r="12" spans="2:15" ht="15.75" x14ac:dyDescent="0.25">
      <c r="B12" s="82">
        <v>9</v>
      </c>
      <c r="C12" s="83" t="s">
        <v>242</v>
      </c>
      <c r="D12" s="82" t="s">
        <v>132</v>
      </c>
      <c r="E12" s="84">
        <f t="shared" si="0"/>
        <v>2000000</v>
      </c>
      <c r="F12" s="82" t="s">
        <v>233</v>
      </c>
      <c r="G12" s="82">
        <v>1</v>
      </c>
      <c r="H12" s="82">
        <v>2</v>
      </c>
      <c r="I12" s="84">
        <f t="shared" si="1"/>
        <v>300000</v>
      </c>
      <c r="J12" s="84">
        <f t="shared" si="2"/>
        <v>500000</v>
      </c>
      <c r="K12" s="84">
        <f t="shared" si="3"/>
        <v>350000</v>
      </c>
      <c r="L12" s="85">
        <f t="shared" si="4"/>
        <v>150000</v>
      </c>
      <c r="N12" s="86" t="s">
        <v>245</v>
      </c>
    </row>
    <row r="13" spans="2:15" x14ac:dyDescent="0.25">
      <c r="N13" s="1" t="s">
        <v>246</v>
      </c>
      <c r="O13" s="41">
        <v>500000</v>
      </c>
    </row>
    <row r="14" spans="2:15" x14ac:dyDescent="0.25">
      <c r="N14" s="1" t="s">
        <v>247</v>
      </c>
      <c r="O14" s="41">
        <v>400000</v>
      </c>
    </row>
    <row r="16" spans="2:15" x14ac:dyDescent="0.25">
      <c r="N16" s="86" t="s">
        <v>248</v>
      </c>
    </row>
    <row r="17" spans="14:15" x14ac:dyDescent="0.25">
      <c r="N17" s="89" t="s">
        <v>250</v>
      </c>
      <c r="O17" s="41">
        <v>1000000</v>
      </c>
    </row>
    <row r="18" spans="14:15" x14ac:dyDescent="0.25">
      <c r="N18" s="89" t="s">
        <v>251</v>
      </c>
      <c r="O18" s="41">
        <v>350000</v>
      </c>
    </row>
    <row r="20" spans="14:15" x14ac:dyDescent="0.25">
      <c r="N20" s="86" t="s">
        <v>252</v>
      </c>
      <c r="O20" s="88" t="s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286A-DE05-4D2E-8682-635F7A4FE1C2}">
  <dimension ref="B2:W15"/>
  <sheetViews>
    <sheetView topLeftCell="N1" zoomScale="80" zoomScaleNormal="80" workbookViewId="0">
      <selection activeCell="M6" sqref="M6"/>
    </sheetView>
  </sheetViews>
  <sheetFormatPr defaultRowHeight="15" x14ac:dyDescent="0.25"/>
  <cols>
    <col min="2" max="2" width="3.85546875" bestFit="1" customWidth="1"/>
    <col min="3" max="3" width="9.140625" bestFit="1" customWidth="1"/>
    <col min="4" max="4" width="6.5703125" bestFit="1" customWidth="1"/>
    <col min="5" max="5" width="13.5703125" bestFit="1" customWidth="1"/>
    <col min="6" max="6" width="17.85546875" bestFit="1" customWidth="1"/>
    <col min="7" max="7" width="17.42578125" customWidth="1"/>
    <col min="8" max="8" width="20.140625" bestFit="1" customWidth="1"/>
    <col min="9" max="9" width="14" bestFit="1" customWidth="1"/>
    <col min="10" max="10" width="16.42578125" bestFit="1" customWidth="1"/>
    <col min="11" max="11" width="22.85546875" bestFit="1" customWidth="1"/>
    <col min="12" max="12" width="19" bestFit="1" customWidth="1"/>
    <col min="13" max="13" width="22" bestFit="1" customWidth="1"/>
    <col min="14" max="14" width="22.5703125" bestFit="1" customWidth="1"/>
    <col min="15" max="15" width="16.85546875" bestFit="1" customWidth="1"/>
    <col min="16" max="16" width="21.5703125" customWidth="1"/>
    <col min="18" max="18" width="14.7109375" bestFit="1" customWidth="1"/>
    <col min="19" max="19" width="11.7109375" bestFit="1" customWidth="1"/>
    <col min="20" max="20" width="17.85546875" bestFit="1" customWidth="1"/>
    <col min="21" max="21" width="10.28515625" bestFit="1" customWidth="1"/>
    <col min="22" max="23" width="8.85546875" bestFit="1" customWidth="1"/>
  </cols>
  <sheetData>
    <row r="2" spans="2:23" x14ac:dyDescent="0.25">
      <c r="E2" s="90"/>
      <c r="F2" s="90"/>
      <c r="G2" s="90"/>
      <c r="H2" s="90"/>
      <c r="J2" s="90"/>
      <c r="K2" s="90"/>
      <c r="L2" s="90"/>
      <c r="M2" s="90"/>
      <c r="N2" s="90"/>
      <c r="O2" s="90"/>
      <c r="P2" s="90"/>
    </row>
    <row r="3" spans="2:23" ht="30" x14ac:dyDescent="0.25">
      <c r="B3" s="91" t="s">
        <v>88</v>
      </c>
      <c r="C3" s="91" t="s">
        <v>90</v>
      </c>
      <c r="D3" s="91" t="s">
        <v>127</v>
      </c>
      <c r="E3" s="91" t="s">
        <v>254</v>
      </c>
      <c r="F3" s="91" t="s">
        <v>146</v>
      </c>
      <c r="G3" s="91" t="s">
        <v>255</v>
      </c>
      <c r="H3" s="91" t="s">
        <v>153</v>
      </c>
      <c r="I3" s="91" t="s">
        <v>256</v>
      </c>
      <c r="J3" s="91" t="s">
        <v>257</v>
      </c>
      <c r="K3" s="91" t="s">
        <v>258</v>
      </c>
      <c r="L3" s="91" t="s">
        <v>259</v>
      </c>
      <c r="M3" s="91" t="s">
        <v>260</v>
      </c>
      <c r="N3" s="91" t="s">
        <v>261</v>
      </c>
      <c r="O3" s="91" t="s">
        <v>262</v>
      </c>
      <c r="P3" s="91" t="s">
        <v>263</v>
      </c>
    </row>
    <row r="4" spans="2:23" x14ac:dyDescent="0.25">
      <c r="B4" s="12">
        <v>1</v>
      </c>
      <c r="C4" s="9" t="s">
        <v>264</v>
      </c>
      <c r="D4" s="32" t="s">
        <v>137</v>
      </c>
      <c r="E4" s="92">
        <f>VLOOKUP(D4,$R$11:$U$15,2,0)</f>
        <v>100</v>
      </c>
      <c r="F4" s="93">
        <f>VLOOKUP(D4,$R$11:$U$15,3,0)</f>
        <v>210000000</v>
      </c>
      <c r="G4" s="93">
        <f>F4*VLOOKUP(D4,$R$11:$U$15,4,0)</f>
        <v>6300000</v>
      </c>
      <c r="H4" s="93">
        <f>F4+G4</f>
        <v>216300000</v>
      </c>
      <c r="I4" s="94">
        <v>120</v>
      </c>
      <c r="J4" s="93">
        <f>H4*HLOOKUP(D4,$S$5:$W$7,2,0)</f>
        <v>32445000</v>
      </c>
      <c r="K4" s="93">
        <f>H4*HLOOKUP(D4,$S$5:$W$7,2,0)</f>
        <v>32445000</v>
      </c>
      <c r="L4" s="93">
        <f>(H4-J4)/I4</f>
        <v>1532125</v>
      </c>
      <c r="M4" s="93">
        <f>K4*HLOOKUP(D4,$S$5:$W$7,3,0)</f>
        <v>973350</v>
      </c>
      <c r="N4" s="93">
        <f>K4+L4</f>
        <v>33977125</v>
      </c>
      <c r="O4" s="95">
        <v>44575</v>
      </c>
      <c r="P4" s="96">
        <f>EDATE(O4,I4)</f>
        <v>48227</v>
      </c>
      <c r="R4" s="97" t="s">
        <v>275</v>
      </c>
      <c r="S4" s="1"/>
      <c r="T4" s="1"/>
      <c r="U4" s="1"/>
      <c r="V4" s="1"/>
      <c r="W4" s="1"/>
    </row>
    <row r="5" spans="2:23" x14ac:dyDescent="0.25">
      <c r="B5" s="12">
        <v>2</v>
      </c>
      <c r="C5" s="9" t="s">
        <v>265</v>
      </c>
      <c r="D5" s="32" t="s">
        <v>266</v>
      </c>
      <c r="E5" s="92">
        <f t="shared" ref="E5:E13" si="0">VLOOKUP(D5,$R$11:$U$15,2,0)</f>
        <v>200</v>
      </c>
      <c r="F5" s="93">
        <f t="shared" ref="F5:F13" si="1">VLOOKUP(D5,$R$11:$U$15,3,0)</f>
        <v>350000000</v>
      </c>
      <c r="G5" s="93">
        <f t="shared" ref="G5:G13" si="2">F5*VLOOKUP(D5,$R$11:$U$15,4,0)</f>
        <v>12250000.000000002</v>
      </c>
      <c r="H5" s="93">
        <f t="shared" ref="H5:H13" si="3">F5+G5</f>
        <v>362250000</v>
      </c>
      <c r="I5" s="94">
        <v>60</v>
      </c>
      <c r="J5" s="93">
        <f t="shared" ref="J5:J13" si="4">H5*HLOOKUP(D5,$S$5:$W$7,2,0)</f>
        <v>90562500</v>
      </c>
      <c r="K5" s="93">
        <f t="shared" ref="K5:K13" si="5">H5*HLOOKUP(D5,$S$5:$W$7,2,0)</f>
        <v>90562500</v>
      </c>
      <c r="L5" s="93">
        <f t="shared" ref="L5:L13" si="6">(H5-J5)/I5</f>
        <v>4528125</v>
      </c>
      <c r="M5" s="93">
        <f t="shared" ref="M5:M13" si="7">K5*HLOOKUP(D5,$S$5:$W$7,3,0)</f>
        <v>4528125</v>
      </c>
      <c r="N5" s="93">
        <f t="shared" ref="N5:N13" si="8">K5+L5</f>
        <v>95090625</v>
      </c>
      <c r="O5" s="95">
        <v>44585</v>
      </c>
      <c r="P5" s="96">
        <f t="shared" ref="P5:P13" si="9">EDATE(O5,I5)</f>
        <v>46411</v>
      </c>
      <c r="R5" s="98" t="s">
        <v>276</v>
      </c>
      <c r="S5" s="99" t="s">
        <v>68</v>
      </c>
      <c r="T5" s="99" t="s">
        <v>132</v>
      </c>
      <c r="U5" s="99" t="s">
        <v>137</v>
      </c>
      <c r="V5" s="99" t="s">
        <v>136</v>
      </c>
      <c r="W5" s="99" t="s">
        <v>266</v>
      </c>
    </row>
    <row r="6" spans="2:23" x14ac:dyDescent="0.25">
      <c r="B6" s="12">
        <v>3</v>
      </c>
      <c r="C6" s="9" t="s">
        <v>267</v>
      </c>
      <c r="D6" s="32" t="s">
        <v>68</v>
      </c>
      <c r="E6" s="92">
        <f t="shared" si="0"/>
        <v>60</v>
      </c>
      <c r="F6" s="93">
        <f t="shared" si="1"/>
        <v>160000000</v>
      </c>
      <c r="G6" s="93">
        <f t="shared" si="2"/>
        <v>4000000</v>
      </c>
      <c r="H6" s="93">
        <f t="shared" si="3"/>
        <v>164000000</v>
      </c>
      <c r="I6" s="94">
        <v>180</v>
      </c>
      <c r="J6" s="93">
        <f t="shared" si="4"/>
        <v>8200000</v>
      </c>
      <c r="K6" s="93">
        <f t="shared" si="5"/>
        <v>8200000</v>
      </c>
      <c r="L6" s="93">
        <f t="shared" si="6"/>
        <v>865555.5555555555</v>
      </c>
      <c r="M6" s="93">
        <f t="shared" si="7"/>
        <v>82000</v>
      </c>
      <c r="N6" s="93">
        <f t="shared" si="8"/>
        <v>9065555.555555556</v>
      </c>
      <c r="O6" s="95">
        <v>44632</v>
      </c>
      <c r="P6" s="96">
        <f t="shared" si="9"/>
        <v>50111</v>
      </c>
      <c r="R6" s="98" t="s">
        <v>277</v>
      </c>
      <c r="S6" s="100">
        <v>0.05</v>
      </c>
      <c r="T6" s="100">
        <v>0.1</v>
      </c>
      <c r="U6" s="100">
        <v>0.15</v>
      </c>
      <c r="V6" s="100">
        <v>0.2</v>
      </c>
      <c r="W6" s="100">
        <v>0.25</v>
      </c>
    </row>
    <row r="7" spans="2:23" x14ac:dyDescent="0.25">
      <c r="B7" s="12">
        <v>4</v>
      </c>
      <c r="C7" s="9" t="s">
        <v>268</v>
      </c>
      <c r="D7" s="32" t="s">
        <v>136</v>
      </c>
      <c r="E7" s="92">
        <f t="shared" si="0"/>
        <v>150</v>
      </c>
      <c r="F7" s="93">
        <f t="shared" si="1"/>
        <v>250000000</v>
      </c>
      <c r="G7" s="93">
        <f t="shared" si="2"/>
        <v>8750000</v>
      </c>
      <c r="H7" s="93">
        <f t="shared" si="3"/>
        <v>258750000</v>
      </c>
      <c r="I7" s="94">
        <v>132</v>
      </c>
      <c r="J7" s="93">
        <f t="shared" si="4"/>
        <v>51750000</v>
      </c>
      <c r="K7" s="93">
        <f t="shared" si="5"/>
        <v>51750000</v>
      </c>
      <c r="L7" s="93">
        <f t="shared" si="6"/>
        <v>1568181.8181818181</v>
      </c>
      <c r="M7" s="93">
        <f t="shared" si="7"/>
        <v>2070000</v>
      </c>
      <c r="N7" s="93">
        <f t="shared" si="8"/>
        <v>53318181.81818182</v>
      </c>
      <c r="O7" s="95">
        <v>44614</v>
      </c>
      <c r="P7" s="96">
        <f t="shared" si="9"/>
        <v>48632</v>
      </c>
      <c r="R7" s="98" t="s">
        <v>278</v>
      </c>
      <c r="S7" s="100">
        <v>0.01</v>
      </c>
      <c r="T7" s="100">
        <v>0.02</v>
      </c>
      <c r="U7" s="100">
        <v>0.03</v>
      </c>
      <c r="V7" s="100">
        <v>0.04</v>
      </c>
      <c r="W7" s="100">
        <v>0.05</v>
      </c>
    </row>
    <row r="8" spans="2:23" x14ac:dyDescent="0.25">
      <c r="B8" s="12">
        <v>5</v>
      </c>
      <c r="C8" s="9" t="s">
        <v>269</v>
      </c>
      <c r="D8" s="32" t="s">
        <v>132</v>
      </c>
      <c r="E8" s="92">
        <f t="shared" si="0"/>
        <v>80</v>
      </c>
      <c r="F8" s="93">
        <f t="shared" si="1"/>
        <v>190000000</v>
      </c>
      <c r="G8" s="93">
        <f t="shared" si="2"/>
        <v>4750000</v>
      </c>
      <c r="H8" s="93">
        <f t="shared" si="3"/>
        <v>194750000</v>
      </c>
      <c r="I8" s="94">
        <v>156</v>
      </c>
      <c r="J8" s="93">
        <f t="shared" si="4"/>
        <v>19475000</v>
      </c>
      <c r="K8" s="93">
        <f t="shared" si="5"/>
        <v>19475000</v>
      </c>
      <c r="L8" s="93">
        <f t="shared" si="6"/>
        <v>1123557.6923076923</v>
      </c>
      <c r="M8" s="93">
        <f t="shared" si="7"/>
        <v>389500</v>
      </c>
      <c r="N8" s="93">
        <f t="shared" si="8"/>
        <v>20598557.692307692</v>
      </c>
      <c r="O8" s="95">
        <v>44678</v>
      </c>
      <c r="P8" s="96">
        <f t="shared" si="9"/>
        <v>49426</v>
      </c>
    </row>
    <row r="9" spans="2:23" x14ac:dyDescent="0.25">
      <c r="B9" s="12">
        <v>6</v>
      </c>
      <c r="C9" s="9" t="s">
        <v>270</v>
      </c>
      <c r="D9" s="32" t="s">
        <v>137</v>
      </c>
      <c r="E9" s="92">
        <f t="shared" si="0"/>
        <v>100</v>
      </c>
      <c r="F9" s="93">
        <f t="shared" si="1"/>
        <v>210000000</v>
      </c>
      <c r="G9" s="93">
        <f t="shared" si="2"/>
        <v>6300000</v>
      </c>
      <c r="H9" s="93">
        <f t="shared" si="3"/>
        <v>216300000</v>
      </c>
      <c r="I9" s="94">
        <v>144</v>
      </c>
      <c r="J9" s="93">
        <f t="shared" si="4"/>
        <v>32445000</v>
      </c>
      <c r="K9" s="93">
        <f t="shared" si="5"/>
        <v>32445000</v>
      </c>
      <c r="L9" s="93">
        <f t="shared" si="6"/>
        <v>1276770.8333333333</v>
      </c>
      <c r="M9" s="93">
        <f t="shared" si="7"/>
        <v>973350</v>
      </c>
      <c r="N9" s="93">
        <f t="shared" si="8"/>
        <v>33721770.833333336</v>
      </c>
      <c r="O9" s="95">
        <v>44681</v>
      </c>
      <c r="P9" s="96">
        <f t="shared" si="9"/>
        <v>49064</v>
      </c>
      <c r="R9" s="97" t="s">
        <v>279</v>
      </c>
      <c r="S9" s="1"/>
      <c r="T9" s="1"/>
      <c r="U9" s="1"/>
    </row>
    <row r="10" spans="2:23" x14ac:dyDescent="0.25">
      <c r="B10" s="12">
        <v>7</v>
      </c>
      <c r="C10" s="9" t="s">
        <v>271</v>
      </c>
      <c r="D10" s="32" t="s">
        <v>68</v>
      </c>
      <c r="E10" s="92">
        <f t="shared" si="0"/>
        <v>60</v>
      </c>
      <c r="F10" s="93">
        <f t="shared" si="1"/>
        <v>160000000</v>
      </c>
      <c r="G10" s="93">
        <f t="shared" si="2"/>
        <v>4000000</v>
      </c>
      <c r="H10" s="93">
        <f t="shared" si="3"/>
        <v>164000000</v>
      </c>
      <c r="I10" s="94">
        <v>48</v>
      </c>
      <c r="J10" s="93">
        <f t="shared" si="4"/>
        <v>8200000</v>
      </c>
      <c r="K10" s="93">
        <f t="shared" si="5"/>
        <v>8200000</v>
      </c>
      <c r="L10" s="93">
        <f t="shared" si="6"/>
        <v>3245833.3333333335</v>
      </c>
      <c r="M10" s="93">
        <f t="shared" si="7"/>
        <v>82000</v>
      </c>
      <c r="N10" s="93">
        <f t="shared" si="8"/>
        <v>11445833.333333334</v>
      </c>
      <c r="O10" s="95">
        <v>44732</v>
      </c>
      <c r="P10" s="96">
        <f t="shared" si="9"/>
        <v>46193</v>
      </c>
      <c r="R10" s="98" t="s">
        <v>276</v>
      </c>
      <c r="S10" s="98" t="s">
        <v>280</v>
      </c>
      <c r="T10" s="98" t="s">
        <v>281</v>
      </c>
      <c r="U10" s="98" t="s">
        <v>282</v>
      </c>
    </row>
    <row r="11" spans="2:23" x14ac:dyDescent="0.25">
      <c r="B11" s="12">
        <v>8</v>
      </c>
      <c r="C11" s="9" t="s">
        <v>272</v>
      </c>
      <c r="D11" s="32" t="s">
        <v>132</v>
      </c>
      <c r="E11" s="92">
        <f t="shared" si="0"/>
        <v>80</v>
      </c>
      <c r="F11" s="93">
        <f t="shared" si="1"/>
        <v>190000000</v>
      </c>
      <c r="G11" s="93">
        <f t="shared" si="2"/>
        <v>4750000</v>
      </c>
      <c r="H11" s="93">
        <f t="shared" si="3"/>
        <v>194750000</v>
      </c>
      <c r="I11" s="94">
        <v>96</v>
      </c>
      <c r="J11" s="93">
        <f t="shared" si="4"/>
        <v>19475000</v>
      </c>
      <c r="K11" s="93">
        <f t="shared" si="5"/>
        <v>19475000</v>
      </c>
      <c r="L11" s="93">
        <f t="shared" si="6"/>
        <v>1825781.25</v>
      </c>
      <c r="M11" s="93">
        <f t="shared" si="7"/>
        <v>389500</v>
      </c>
      <c r="N11" s="93">
        <f t="shared" si="8"/>
        <v>21300781.25</v>
      </c>
      <c r="O11" s="95">
        <v>44747</v>
      </c>
      <c r="P11" s="96">
        <f t="shared" si="9"/>
        <v>47669</v>
      </c>
      <c r="R11" s="99" t="s">
        <v>68</v>
      </c>
      <c r="S11" s="101">
        <v>60</v>
      </c>
      <c r="T11" s="102">
        <v>160000000</v>
      </c>
      <c r="U11" s="100">
        <v>2.5000000000000001E-2</v>
      </c>
    </row>
    <row r="12" spans="2:23" x14ac:dyDescent="0.25">
      <c r="B12" s="12">
        <v>9</v>
      </c>
      <c r="C12" s="9" t="s">
        <v>273</v>
      </c>
      <c r="D12" s="32" t="s">
        <v>266</v>
      </c>
      <c r="E12" s="92">
        <f t="shared" si="0"/>
        <v>200</v>
      </c>
      <c r="F12" s="93">
        <f t="shared" si="1"/>
        <v>350000000</v>
      </c>
      <c r="G12" s="93">
        <f t="shared" si="2"/>
        <v>12250000.000000002</v>
      </c>
      <c r="H12" s="93">
        <f t="shared" si="3"/>
        <v>362250000</v>
      </c>
      <c r="I12" s="94">
        <v>168</v>
      </c>
      <c r="J12" s="93">
        <f t="shared" si="4"/>
        <v>90562500</v>
      </c>
      <c r="K12" s="93">
        <f t="shared" si="5"/>
        <v>90562500</v>
      </c>
      <c r="L12" s="93">
        <f t="shared" si="6"/>
        <v>1617187.5</v>
      </c>
      <c r="M12" s="93">
        <f t="shared" si="7"/>
        <v>4528125</v>
      </c>
      <c r="N12" s="93">
        <f t="shared" si="8"/>
        <v>92179687.5</v>
      </c>
      <c r="O12" s="95">
        <v>44801</v>
      </c>
      <c r="P12" s="96">
        <f t="shared" si="9"/>
        <v>49915</v>
      </c>
      <c r="R12" s="99" t="s">
        <v>132</v>
      </c>
      <c r="S12" s="101">
        <v>80</v>
      </c>
      <c r="T12" s="102">
        <v>190000000</v>
      </c>
      <c r="U12" s="100">
        <v>2.5000000000000001E-2</v>
      </c>
    </row>
    <row r="13" spans="2:23" x14ac:dyDescent="0.25">
      <c r="B13" s="12">
        <v>10</v>
      </c>
      <c r="C13" s="9" t="s">
        <v>274</v>
      </c>
      <c r="D13" s="32" t="s">
        <v>136</v>
      </c>
      <c r="E13" s="92">
        <f t="shared" si="0"/>
        <v>150</v>
      </c>
      <c r="F13" s="93">
        <f t="shared" si="1"/>
        <v>250000000</v>
      </c>
      <c r="G13" s="93">
        <f t="shared" si="2"/>
        <v>8750000</v>
      </c>
      <c r="H13" s="93">
        <f t="shared" si="3"/>
        <v>258750000</v>
      </c>
      <c r="I13" s="94">
        <v>108</v>
      </c>
      <c r="J13" s="93">
        <f t="shared" si="4"/>
        <v>51750000</v>
      </c>
      <c r="K13" s="93">
        <f t="shared" si="5"/>
        <v>51750000</v>
      </c>
      <c r="L13" s="93">
        <f t="shared" si="6"/>
        <v>1916666.6666666667</v>
      </c>
      <c r="M13" s="93">
        <f t="shared" si="7"/>
        <v>2070000</v>
      </c>
      <c r="N13" s="93">
        <f t="shared" si="8"/>
        <v>53666666.666666664</v>
      </c>
      <c r="O13" s="95">
        <v>44809</v>
      </c>
      <c r="P13" s="96">
        <f t="shared" si="9"/>
        <v>48096</v>
      </c>
      <c r="R13" s="99" t="s">
        <v>137</v>
      </c>
      <c r="S13" s="101">
        <v>100</v>
      </c>
      <c r="T13" s="102">
        <v>210000000</v>
      </c>
      <c r="U13" s="100">
        <v>0.03</v>
      </c>
    </row>
    <row r="14" spans="2:23" x14ac:dyDescent="0.25">
      <c r="R14" s="99" t="s">
        <v>136</v>
      </c>
      <c r="S14" s="101">
        <v>150</v>
      </c>
      <c r="T14" s="102">
        <v>250000000</v>
      </c>
      <c r="U14" s="100">
        <v>3.5000000000000003E-2</v>
      </c>
    </row>
    <row r="15" spans="2:23" x14ac:dyDescent="0.25">
      <c r="R15" s="99" t="s">
        <v>266</v>
      </c>
      <c r="S15" s="101">
        <v>200</v>
      </c>
      <c r="T15" s="102">
        <v>350000000</v>
      </c>
      <c r="U15" s="100">
        <v>3.5000000000000003E-2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DC9E-BCF1-40DB-86F8-58AFBB32E88E}">
  <dimension ref="B2:O16"/>
  <sheetViews>
    <sheetView topLeftCell="D1" zoomScale="80" zoomScaleNormal="80" workbookViewId="0">
      <selection activeCell="M4" sqref="M4:M16"/>
    </sheetView>
  </sheetViews>
  <sheetFormatPr defaultRowHeight="15" x14ac:dyDescent="0.25"/>
  <cols>
    <col min="2" max="2" width="8.85546875" bestFit="1" customWidth="1"/>
    <col min="3" max="3" width="10.85546875" bestFit="1" customWidth="1"/>
    <col min="4" max="4" width="11.42578125" bestFit="1" customWidth="1"/>
    <col min="5" max="5" width="15.140625" bestFit="1" customWidth="1"/>
    <col min="6" max="6" width="11.42578125" bestFit="1" customWidth="1"/>
    <col min="7" max="7" width="10.7109375" bestFit="1" customWidth="1"/>
    <col min="8" max="8" width="18" bestFit="1" customWidth="1"/>
    <col min="9" max="9" width="14.5703125" bestFit="1" customWidth="1"/>
    <col min="10" max="10" width="18.140625" customWidth="1"/>
    <col min="11" max="11" width="11.42578125" bestFit="1" customWidth="1"/>
    <col min="12" max="12" width="13.42578125" bestFit="1" customWidth="1"/>
    <col min="13" max="13" width="14.85546875" bestFit="1" customWidth="1"/>
    <col min="14" max="14" width="19" customWidth="1"/>
    <col min="15" max="15" width="20" bestFit="1" customWidth="1"/>
  </cols>
  <sheetData>
    <row r="2" spans="2:15" ht="60" x14ac:dyDescent="0.25">
      <c r="B2" s="103" t="s">
        <v>0</v>
      </c>
      <c r="C2" s="103" t="s">
        <v>283</v>
      </c>
      <c r="D2" s="103" t="s">
        <v>284</v>
      </c>
      <c r="E2" s="103" t="s">
        <v>285</v>
      </c>
      <c r="F2" s="103" t="s">
        <v>281</v>
      </c>
      <c r="G2" s="103" t="s">
        <v>286</v>
      </c>
      <c r="H2" s="103" t="s">
        <v>301</v>
      </c>
      <c r="I2" s="103" t="s">
        <v>302</v>
      </c>
      <c r="J2" s="103" t="s">
        <v>303</v>
      </c>
      <c r="K2" s="103" t="s">
        <v>304</v>
      </c>
      <c r="L2" s="103" t="s">
        <v>305</v>
      </c>
      <c r="M2" s="103" t="s">
        <v>306</v>
      </c>
      <c r="N2" s="4" t="s">
        <v>307</v>
      </c>
      <c r="O2" s="103" t="s">
        <v>308</v>
      </c>
    </row>
    <row r="3" spans="2:15" x14ac:dyDescent="0.25">
      <c r="B3" s="104" t="s">
        <v>287</v>
      </c>
      <c r="C3" s="105">
        <v>13</v>
      </c>
      <c r="D3" s="105">
        <v>4</v>
      </c>
      <c r="E3" s="105">
        <v>7</v>
      </c>
      <c r="F3" s="106">
        <v>7000</v>
      </c>
      <c r="G3" s="106">
        <v>6000</v>
      </c>
      <c r="H3" s="107">
        <f>C3+D3</f>
        <v>17</v>
      </c>
      <c r="I3" s="107">
        <f>H3-E3</f>
        <v>10</v>
      </c>
      <c r="J3" s="108">
        <f>I3*F3</f>
        <v>70000</v>
      </c>
      <c r="K3" s="109">
        <f>E3/H3</f>
        <v>0.41176470588235292</v>
      </c>
      <c r="L3" s="108">
        <f>J3*5%</f>
        <v>3500</v>
      </c>
      <c r="M3" s="110">
        <f>H3^2</f>
        <v>289</v>
      </c>
      <c r="N3" s="108">
        <f>J3-(J3*25%)</f>
        <v>52500</v>
      </c>
      <c r="O3" s="111">
        <f>(N3-(I3*G3))-L3</f>
        <v>-11000</v>
      </c>
    </row>
    <row r="4" spans="2:15" x14ac:dyDescent="0.25">
      <c r="B4" s="112" t="s">
        <v>288</v>
      </c>
      <c r="C4" s="12">
        <v>7</v>
      </c>
      <c r="D4" s="12">
        <v>10</v>
      </c>
      <c r="E4" s="12">
        <v>6</v>
      </c>
      <c r="F4" s="113">
        <v>7000</v>
      </c>
      <c r="G4" s="113">
        <v>5500</v>
      </c>
      <c r="H4" s="107">
        <f t="shared" ref="H4:H16" si="0">C4+D4</f>
        <v>17</v>
      </c>
      <c r="I4" s="107">
        <f t="shared" ref="I4:I16" si="1">H4-E4</f>
        <v>11</v>
      </c>
      <c r="J4" s="108">
        <f t="shared" ref="J4:J16" si="2">I4*F4</f>
        <v>77000</v>
      </c>
      <c r="K4" s="109">
        <f t="shared" ref="K4:K16" si="3">E4/H4</f>
        <v>0.35294117647058826</v>
      </c>
      <c r="L4" s="108">
        <f t="shared" ref="L4:L16" si="4">J4*5%</f>
        <v>3850</v>
      </c>
      <c r="M4" s="110">
        <f>H4^2</f>
        <v>289</v>
      </c>
      <c r="N4" s="108">
        <f t="shared" ref="N4:N16" si="5">J4-(J4*25%)</f>
        <v>57750</v>
      </c>
      <c r="O4" s="111">
        <f t="shared" ref="O4:O16" si="6">(N4-(I4*G4))-L4</f>
        <v>-6600</v>
      </c>
    </row>
    <row r="5" spans="2:15" x14ac:dyDescent="0.25">
      <c r="B5" s="112" t="s">
        <v>289</v>
      </c>
      <c r="C5" s="12">
        <v>7</v>
      </c>
      <c r="D5" s="12">
        <v>11</v>
      </c>
      <c r="E5" s="12">
        <v>5</v>
      </c>
      <c r="F5" s="113">
        <v>7000</v>
      </c>
      <c r="G5" s="113">
        <v>5600</v>
      </c>
      <c r="H5" s="107">
        <f t="shared" si="0"/>
        <v>18</v>
      </c>
      <c r="I5" s="107">
        <f t="shared" si="1"/>
        <v>13</v>
      </c>
      <c r="J5" s="108">
        <f t="shared" si="2"/>
        <v>91000</v>
      </c>
      <c r="K5" s="109">
        <f t="shared" si="3"/>
        <v>0.27777777777777779</v>
      </c>
      <c r="L5" s="108">
        <f t="shared" si="4"/>
        <v>4550</v>
      </c>
      <c r="M5" s="110">
        <f t="shared" ref="M5:M16" si="7">H5^2</f>
        <v>324</v>
      </c>
      <c r="N5" s="108">
        <f t="shared" si="5"/>
        <v>68250</v>
      </c>
      <c r="O5" s="111">
        <f t="shared" si="6"/>
        <v>-9100</v>
      </c>
    </row>
    <row r="6" spans="2:15" x14ac:dyDescent="0.25">
      <c r="B6" s="112" t="s">
        <v>290</v>
      </c>
      <c r="C6" s="12">
        <v>11</v>
      </c>
      <c r="D6" s="12">
        <v>9</v>
      </c>
      <c r="E6" s="12">
        <v>6</v>
      </c>
      <c r="F6" s="113">
        <v>4000</v>
      </c>
      <c r="G6" s="113">
        <v>3100</v>
      </c>
      <c r="H6" s="107">
        <f t="shared" si="0"/>
        <v>20</v>
      </c>
      <c r="I6" s="107">
        <f t="shared" si="1"/>
        <v>14</v>
      </c>
      <c r="J6" s="108">
        <f t="shared" si="2"/>
        <v>56000</v>
      </c>
      <c r="K6" s="109">
        <f t="shared" si="3"/>
        <v>0.3</v>
      </c>
      <c r="L6" s="108">
        <f t="shared" si="4"/>
        <v>2800</v>
      </c>
      <c r="M6" s="110">
        <f t="shared" si="7"/>
        <v>400</v>
      </c>
      <c r="N6" s="108">
        <f t="shared" si="5"/>
        <v>42000</v>
      </c>
      <c r="O6" s="111">
        <f t="shared" si="6"/>
        <v>-4200</v>
      </c>
    </row>
    <row r="7" spans="2:15" x14ac:dyDescent="0.25">
      <c r="B7" s="112" t="s">
        <v>291</v>
      </c>
      <c r="C7" s="12">
        <v>10</v>
      </c>
      <c r="D7" s="12">
        <v>11</v>
      </c>
      <c r="E7" s="12">
        <v>1</v>
      </c>
      <c r="F7" s="113">
        <v>9000</v>
      </c>
      <c r="G7" s="113">
        <v>8000</v>
      </c>
      <c r="H7" s="107">
        <f t="shared" si="0"/>
        <v>21</v>
      </c>
      <c r="I7" s="107">
        <f t="shared" si="1"/>
        <v>20</v>
      </c>
      <c r="J7" s="108">
        <f t="shared" si="2"/>
        <v>180000</v>
      </c>
      <c r="K7" s="109">
        <f t="shared" si="3"/>
        <v>4.7619047619047616E-2</v>
      </c>
      <c r="L7" s="108">
        <f t="shared" si="4"/>
        <v>9000</v>
      </c>
      <c r="M7" s="110">
        <f t="shared" si="7"/>
        <v>441</v>
      </c>
      <c r="N7" s="108">
        <f t="shared" si="5"/>
        <v>135000</v>
      </c>
      <c r="O7" s="111">
        <f t="shared" si="6"/>
        <v>-34000</v>
      </c>
    </row>
    <row r="8" spans="2:15" x14ac:dyDescent="0.25">
      <c r="B8" s="112" t="s">
        <v>292</v>
      </c>
      <c r="C8" s="12">
        <v>15</v>
      </c>
      <c r="D8" s="12">
        <v>9</v>
      </c>
      <c r="E8" s="12">
        <v>7</v>
      </c>
      <c r="F8" s="113">
        <v>2000</v>
      </c>
      <c r="G8" s="113">
        <v>1000</v>
      </c>
      <c r="H8" s="107">
        <f t="shared" si="0"/>
        <v>24</v>
      </c>
      <c r="I8" s="107">
        <f t="shared" si="1"/>
        <v>17</v>
      </c>
      <c r="J8" s="108">
        <f t="shared" si="2"/>
        <v>34000</v>
      </c>
      <c r="K8" s="109">
        <f t="shared" si="3"/>
        <v>0.29166666666666669</v>
      </c>
      <c r="L8" s="108">
        <f t="shared" si="4"/>
        <v>1700</v>
      </c>
      <c r="M8" s="110">
        <f t="shared" si="7"/>
        <v>576</v>
      </c>
      <c r="N8" s="108">
        <f t="shared" si="5"/>
        <v>25500</v>
      </c>
      <c r="O8" s="111">
        <f t="shared" si="6"/>
        <v>6800</v>
      </c>
    </row>
    <row r="9" spans="2:15" x14ac:dyDescent="0.25">
      <c r="B9" s="112" t="s">
        <v>293</v>
      </c>
      <c r="C9" s="12">
        <v>9</v>
      </c>
      <c r="D9" s="12">
        <v>7</v>
      </c>
      <c r="E9" s="12">
        <v>2</v>
      </c>
      <c r="F9" s="113">
        <v>8000</v>
      </c>
      <c r="G9" s="113">
        <v>6800</v>
      </c>
      <c r="H9" s="107">
        <f t="shared" si="0"/>
        <v>16</v>
      </c>
      <c r="I9" s="107">
        <f t="shared" si="1"/>
        <v>14</v>
      </c>
      <c r="J9" s="108">
        <f t="shared" si="2"/>
        <v>112000</v>
      </c>
      <c r="K9" s="109">
        <f t="shared" si="3"/>
        <v>0.125</v>
      </c>
      <c r="L9" s="108">
        <f t="shared" si="4"/>
        <v>5600</v>
      </c>
      <c r="M9" s="110">
        <f t="shared" si="7"/>
        <v>256</v>
      </c>
      <c r="N9" s="108">
        <f t="shared" si="5"/>
        <v>84000</v>
      </c>
      <c r="O9" s="111">
        <f t="shared" si="6"/>
        <v>-16800</v>
      </c>
    </row>
    <row r="10" spans="2:15" x14ac:dyDescent="0.25">
      <c r="B10" s="112" t="s">
        <v>294</v>
      </c>
      <c r="C10" s="12">
        <v>18</v>
      </c>
      <c r="D10" s="12">
        <v>4</v>
      </c>
      <c r="E10" s="12">
        <v>4</v>
      </c>
      <c r="F10" s="113">
        <v>8000</v>
      </c>
      <c r="G10" s="113">
        <v>6600</v>
      </c>
      <c r="H10" s="107">
        <f t="shared" si="0"/>
        <v>22</v>
      </c>
      <c r="I10" s="107">
        <f t="shared" si="1"/>
        <v>18</v>
      </c>
      <c r="J10" s="108">
        <f t="shared" si="2"/>
        <v>144000</v>
      </c>
      <c r="K10" s="109">
        <f t="shared" si="3"/>
        <v>0.18181818181818182</v>
      </c>
      <c r="L10" s="108">
        <f t="shared" si="4"/>
        <v>7200</v>
      </c>
      <c r="M10" s="110">
        <f t="shared" si="7"/>
        <v>484</v>
      </c>
      <c r="N10" s="108">
        <f t="shared" si="5"/>
        <v>108000</v>
      </c>
      <c r="O10" s="111">
        <f t="shared" si="6"/>
        <v>-18000</v>
      </c>
    </row>
    <row r="11" spans="2:15" x14ac:dyDescent="0.25">
      <c r="B11" s="112" t="s">
        <v>295</v>
      </c>
      <c r="C11" s="12">
        <v>10</v>
      </c>
      <c r="D11" s="12">
        <v>11</v>
      </c>
      <c r="E11" s="12">
        <v>3</v>
      </c>
      <c r="F11" s="113">
        <v>6000</v>
      </c>
      <c r="G11" s="113">
        <v>5200</v>
      </c>
      <c r="H11" s="107">
        <f t="shared" si="0"/>
        <v>21</v>
      </c>
      <c r="I11" s="107">
        <f t="shared" si="1"/>
        <v>18</v>
      </c>
      <c r="J11" s="108">
        <f t="shared" si="2"/>
        <v>108000</v>
      </c>
      <c r="K11" s="109">
        <f t="shared" si="3"/>
        <v>0.14285714285714285</v>
      </c>
      <c r="L11" s="108">
        <f t="shared" si="4"/>
        <v>5400</v>
      </c>
      <c r="M11" s="110">
        <f t="shared" si="7"/>
        <v>441</v>
      </c>
      <c r="N11" s="108">
        <f t="shared" si="5"/>
        <v>81000</v>
      </c>
      <c r="O11" s="111">
        <f t="shared" si="6"/>
        <v>-18000</v>
      </c>
    </row>
    <row r="12" spans="2:15" x14ac:dyDescent="0.25">
      <c r="B12" s="112" t="s">
        <v>296</v>
      </c>
      <c r="C12" s="12">
        <v>8</v>
      </c>
      <c r="D12" s="12">
        <v>6</v>
      </c>
      <c r="E12" s="12">
        <v>3</v>
      </c>
      <c r="F12" s="113">
        <v>5000</v>
      </c>
      <c r="G12" s="113">
        <v>3700</v>
      </c>
      <c r="H12" s="107">
        <f t="shared" si="0"/>
        <v>14</v>
      </c>
      <c r="I12" s="107">
        <f t="shared" si="1"/>
        <v>11</v>
      </c>
      <c r="J12" s="108">
        <f t="shared" si="2"/>
        <v>55000</v>
      </c>
      <c r="K12" s="109">
        <f t="shared" si="3"/>
        <v>0.21428571428571427</v>
      </c>
      <c r="L12" s="108">
        <f t="shared" si="4"/>
        <v>2750</v>
      </c>
      <c r="M12" s="110">
        <f t="shared" si="7"/>
        <v>196</v>
      </c>
      <c r="N12" s="108">
        <f t="shared" si="5"/>
        <v>41250</v>
      </c>
      <c r="O12" s="111">
        <f t="shared" si="6"/>
        <v>-2200</v>
      </c>
    </row>
    <row r="13" spans="2:15" x14ac:dyDescent="0.25">
      <c r="B13" s="112" t="s">
        <v>297</v>
      </c>
      <c r="C13" s="12">
        <v>17</v>
      </c>
      <c r="D13" s="12">
        <v>6</v>
      </c>
      <c r="E13" s="12">
        <v>9</v>
      </c>
      <c r="F13" s="113">
        <v>5000</v>
      </c>
      <c r="G13" s="113">
        <v>4000</v>
      </c>
      <c r="H13" s="107">
        <f t="shared" si="0"/>
        <v>23</v>
      </c>
      <c r="I13" s="107">
        <f t="shared" si="1"/>
        <v>14</v>
      </c>
      <c r="J13" s="108">
        <f t="shared" si="2"/>
        <v>70000</v>
      </c>
      <c r="K13" s="109">
        <f t="shared" si="3"/>
        <v>0.39130434782608697</v>
      </c>
      <c r="L13" s="108">
        <f t="shared" si="4"/>
        <v>3500</v>
      </c>
      <c r="M13" s="110">
        <f t="shared" si="7"/>
        <v>529</v>
      </c>
      <c r="N13" s="108">
        <f t="shared" si="5"/>
        <v>52500</v>
      </c>
      <c r="O13" s="111">
        <f t="shared" si="6"/>
        <v>-7000</v>
      </c>
    </row>
    <row r="14" spans="2:15" x14ac:dyDescent="0.25">
      <c r="B14" s="112" t="s">
        <v>298</v>
      </c>
      <c r="C14" s="12">
        <v>4</v>
      </c>
      <c r="D14" s="12">
        <v>7</v>
      </c>
      <c r="E14" s="12">
        <v>6</v>
      </c>
      <c r="F14" s="113">
        <v>7000</v>
      </c>
      <c r="G14" s="113">
        <v>5900</v>
      </c>
      <c r="H14" s="107">
        <f t="shared" si="0"/>
        <v>11</v>
      </c>
      <c r="I14" s="107">
        <f t="shared" si="1"/>
        <v>5</v>
      </c>
      <c r="J14" s="108">
        <f t="shared" si="2"/>
        <v>35000</v>
      </c>
      <c r="K14" s="109">
        <f t="shared" si="3"/>
        <v>0.54545454545454541</v>
      </c>
      <c r="L14" s="108">
        <f t="shared" si="4"/>
        <v>1750</v>
      </c>
      <c r="M14" s="110">
        <f t="shared" si="7"/>
        <v>121</v>
      </c>
      <c r="N14" s="108">
        <f t="shared" si="5"/>
        <v>26250</v>
      </c>
      <c r="O14" s="111">
        <f t="shared" si="6"/>
        <v>-5000</v>
      </c>
    </row>
    <row r="15" spans="2:15" x14ac:dyDescent="0.25">
      <c r="B15" s="112" t="s">
        <v>299</v>
      </c>
      <c r="C15" s="12">
        <v>7</v>
      </c>
      <c r="D15" s="12">
        <v>9</v>
      </c>
      <c r="E15" s="12">
        <v>4</v>
      </c>
      <c r="F15" s="113">
        <v>4000</v>
      </c>
      <c r="G15" s="113">
        <v>3100</v>
      </c>
      <c r="H15" s="107">
        <f t="shared" si="0"/>
        <v>16</v>
      </c>
      <c r="I15" s="107">
        <f t="shared" si="1"/>
        <v>12</v>
      </c>
      <c r="J15" s="108">
        <f t="shared" si="2"/>
        <v>48000</v>
      </c>
      <c r="K15" s="109">
        <f t="shared" si="3"/>
        <v>0.25</v>
      </c>
      <c r="L15" s="108">
        <f t="shared" si="4"/>
        <v>2400</v>
      </c>
      <c r="M15" s="110">
        <f t="shared" si="7"/>
        <v>256</v>
      </c>
      <c r="N15" s="108">
        <f t="shared" si="5"/>
        <v>36000</v>
      </c>
      <c r="O15" s="111">
        <f t="shared" si="6"/>
        <v>-3600</v>
      </c>
    </row>
    <row r="16" spans="2:15" x14ac:dyDescent="0.25">
      <c r="B16" s="114" t="s">
        <v>300</v>
      </c>
      <c r="C16" s="115">
        <v>15</v>
      </c>
      <c r="D16" s="115">
        <v>3</v>
      </c>
      <c r="E16" s="115">
        <v>6</v>
      </c>
      <c r="F16" s="116">
        <v>4000</v>
      </c>
      <c r="G16" s="116">
        <v>3100</v>
      </c>
      <c r="H16" s="107">
        <f t="shared" si="0"/>
        <v>18</v>
      </c>
      <c r="I16" s="107">
        <f t="shared" si="1"/>
        <v>12</v>
      </c>
      <c r="J16" s="108">
        <f t="shared" si="2"/>
        <v>48000</v>
      </c>
      <c r="K16" s="109">
        <f t="shared" si="3"/>
        <v>0.33333333333333331</v>
      </c>
      <c r="L16" s="108">
        <f t="shared" si="4"/>
        <v>2400</v>
      </c>
      <c r="M16" s="110">
        <f t="shared" si="7"/>
        <v>324</v>
      </c>
      <c r="N16" s="108">
        <f t="shared" si="5"/>
        <v>36000</v>
      </c>
      <c r="O16" s="111">
        <f t="shared" si="6"/>
        <v>-3600</v>
      </c>
    </row>
  </sheetData>
  <conditionalFormatting sqref="B3:O16">
    <cfRule type="expression" dxfId="47" priority="1">
      <formula>AND($B3=15,$C3=3)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24AC-987C-4A4A-BF9F-721CF76572B9}">
  <dimension ref="B2:Q29"/>
  <sheetViews>
    <sheetView topLeftCell="I8" zoomScaleNormal="100" workbookViewId="0">
      <selection activeCell="R31" sqref="R31"/>
    </sheetView>
  </sheetViews>
  <sheetFormatPr defaultRowHeight="15" x14ac:dyDescent="0.25"/>
  <cols>
    <col min="2" max="2" width="6.85546875" bestFit="1" customWidth="1"/>
    <col min="3" max="3" width="12.5703125" bestFit="1" customWidth="1"/>
    <col min="4" max="4" width="21.5703125" bestFit="1" customWidth="1"/>
    <col min="5" max="5" width="6.5703125" bestFit="1" customWidth="1"/>
    <col min="6" max="6" width="6.28515625" customWidth="1"/>
    <col min="7" max="7" width="20.42578125" customWidth="1"/>
    <col min="8" max="8" width="16.5703125" bestFit="1" customWidth="1"/>
    <col min="9" max="9" width="15.28515625" customWidth="1"/>
    <col min="10" max="10" width="19.5703125" customWidth="1"/>
    <col min="11" max="11" width="11.42578125" customWidth="1"/>
    <col min="12" max="12" width="24.42578125" bestFit="1" customWidth="1"/>
    <col min="13" max="13" width="18.7109375" bestFit="1" customWidth="1"/>
    <col min="14" max="14" width="23.28515625" bestFit="1" customWidth="1"/>
    <col min="15" max="15" width="17.140625" bestFit="1" customWidth="1"/>
    <col min="17" max="17" width="15.28515625" customWidth="1"/>
  </cols>
  <sheetData>
    <row r="2" spans="2:17" x14ac:dyDescent="0.25">
      <c r="B2" s="194" t="s">
        <v>88</v>
      </c>
      <c r="C2" s="194" t="s">
        <v>309</v>
      </c>
      <c r="D2" s="194" t="s">
        <v>310</v>
      </c>
      <c r="E2" s="194" t="s">
        <v>311</v>
      </c>
      <c r="F2" s="194"/>
      <c r="G2" s="194" t="s">
        <v>351</v>
      </c>
      <c r="H2" s="194"/>
      <c r="I2" s="194"/>
      <c r="J2" s="194" t="s">
        <v>352</v>
      </c>
      <c r="K2" s="194" t="s">
        <v>353</v>
      </c>
      <c r="L2" s="194" t="s">
        <v>354</v>
      </c>
      <c r="M2" s="194" t="s">
        <v>355</v>
      </c>
      <c r="N2" s="194" t="s">
        <v>356</v>
      </c>
      <c r="O2" s="194" t="s">
        <v>357</v>
      </c>
    </row>
    <row r="3" spans="2:17" ht="30" x14ac:dyDescent="0.25">
      <c r="B3" s="194"/>
      <c r="C3" s="194"/>
      <c r="D3" s="194"/>
      <c r="E3" s="117" t="s">
        <v>312</v>
      </c>
      <c r="F3" s="117" t="s">
        <v>313</v>
      </c>
      <c r="G3" s="117" t="s">
        <v>314</v>
      </c>
      <c r="H3" s="117" t="s">
        <v>315</v>
      </c>
      <c r="I3" s="117" t="s">
        <v>316</v>
      </c>
      <c r="J3" s="194"/>
      <c r="K3" s="194"/>
      <c r="L3" s="194"/>
      <c r="M3" s="194"/>
      <c r="N3" s="194"/>
      <c r="O3" s="194"/>
    </row>
    <row r="4" spans="2:17" x14ac:dyDescent="0.25">
      <c r="B4" s="118" t="s">
        <v>2</v>
      </c>
      <c r="C4" s="119" t="s">
        <v>317</v>
      </c>
      <c r="D4" s="120" t="s">
        <v>6</v>
      </c>
      <c r="E4" s="119" t="s">
        <v>318</v>
      </c>
      <c r="F4" s="119" t="s">
        <v>319</v>
      </c>
      <c r="G4" s="121">
        <v>3500000</v>
      </c>
      <c r="H4" s="121">
        <v>1650000</v>
      </c>
      <c r="I4" s="121">
        <v>350000</v>
      </c>
      <c r="J4" s="121">
        <v>5500000</v>
      </c>
      <c r="K4" s="122">
        <v>0.04</v>
      </c>
      <c r="L4" s="121">
        <v>5280000</v>
      </c>
      <c r="M4" s="123">
        <v>825000</v>
      </c>
      <c r="N4" s="121">
        <v>275000</v>
      </c>
      <c r="O4" s="121">
        <v>4180000</v>
      </c>
      <c r="Q4" s="127" t="s">
        <v>358</v>
      </c>
    </row>
    <row r="5" spans="2:17" x14ac:dyDescent="0.2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Q5" s="127" t="s">
        <v>359</v>
      </c>
    </row>
    <row r="6" spans="2:17" x14ac:dyDescent="0.25">
      <c r="B6" s="124">
        <v>1</v>
      </c>
      <c r="C6" s="119" t="s">
        <v>320</v>
      </c>
      <c r="D6" s="120" t="s">
        <v>321</v>
      </c>
      <c r="E6" s="119" t="s">
        <v>322</v>
      </c>
      <c r="F6" s="119" t="s">
        <v>323</v>
      </c>
      <c r="G6" s="121">
        <f>VLOOKUP(C6,Sheet8.1!$F$4:$I$7,2,0)</f>
        <v>3200000</v>
      </c>
      <c r="H6" s="121">
        <f>VLOOKUP(C6,Sheet8.1!$F$4:$I$7,3,0)</f>
        <v>1350000</v>
      </c>
      <c r="I6" s="121">
        <f>VLOOKUP(C6,Sheet8.1!$F$4:$I$7,4,0)*25</f>
        <v>325000</v>
      </c>
      <c r="J6" s="121">
        <f>SUM(G6:I6)</f>
        <v>4875000</v>
      </c>
      <c r="K6" s="122">
        <f>HLOOKUP(C6,Sheet8.1!$G$11:$J$12,2,0)</f>
        <v>0.03</v>
      </c>
      <c r="L6" s="121">
        <f>J6-(J6*K6)</f>
        <v>4728750</v>
      </c>
      <c r="M6" s="123">
        <f>J6*VLOOKUP(E6,Sheet8.1!$C$4:$D$7,2,0)</f>
        <v>0</v>
      </c>
      <c r="N6" s="121">
        <f>J6*INDEX(Sheet8.1!$C$12:$C$16,MATCH(F6,Sheet8.1!$D$12:$D$16,0))</f>
        <v>1218750</v>
      </c>
      <c r="O6" s="121">
        <f>L6-M6-N6</f>
        <v>3510000</v>
      </c>
    </row>
    <row r="7" spans="2:17" x14ac:dyDescent="0.25">
      <c r="B7" s="124">
        <v>2</v>
      </c>
      <c r="C7" s="119" t="s">
        <v>317</v>
      </c>
      <c r="D7" s="120" t="s">
        <v>324</v>
      </c>
      <c r="E7" s="119" t="s">
        <v>322</v>
      </c>
      <c r="F7" s="119" t="s">
        <v>319</v>
      </c>
      <c r="G7" s="121">
        <f>VLOOKUP(C7,Sheet8.1!$F$4:$I$7,2,0)</f>
        <v>3500000</v>
      </c>
      <c r="H7" s="121">
        <f>VLOOKUP(C7,Sheet8.1!$F$4:$I$7,3,0)</f>
        <v>1650000</v>
      </c>
      <c r="I7" s="121">
        <f>VLOOKUP(C7,Sheet8.1!$F$4:$I$7,4,0)*25</f>
        <v>350000</v>
      </c>
      <c r="J7" s="121">
        <f t="shared" ref="J7:J28" si="0">SUM(G7:I7)</f>
        <v>5500000</v>
      </c>
      <c r="K7" s="122">
        <f>HLOOKUP(C7,Sheet8.1!$G$11:$J$12,2,0)</f>
        <v>0.04</v>
      </c>
      <c r="L7" s="121">
        <f t="shared" ref="L7:L28" si="1">J7-(J7*K7)</f>
        <v>5280000</v>
      </c>
      <c r="M7" s="123">
        <f>J7*VLOOKUP(E7,Sheet8.1!$C$4:$D$7,2,0)</f>
        <v>0</v>
      </c>
      <c r="N7" s="121">
        <f>J7*INDEX(Sheet8.1!$C$12:$C$16,MATCH(F7,Sheet8.1!$D$12:$D$16,0))</f>
        <v>275000</v>
      </c>
      <c r="O7" s="121">
        <f t="shared" ref="O7:O28" si="2">L7-M7-N7</f>
        <v>5005000</v>
      </c>
    </row>
    <row r="8" spans="2:17" x14ac:dyDescent="0.25">
      <c r="B8" s="124">
        <v>3</v>
      </c>
      <c r="C8" s="119" t="s">
        <v>325</v>
      </c>
      <c r="D8" s="120" t="s">
        <v>326</v>
      </c>
      <c r="E8" s="119" t="s">
        <v>318</v>
      </c>
      <c r="F8" s="119" t="s">
        <v>323</v>
      </c>
      <c r="G8" s="121">
        <f>VLOOKUP(C8,Sheet8.1!$F$4:$I$7,2,0)</f>
        <v>3000000</v>
      </c>
      <c r="H8" s="121">
        <f>VLOOKUP(C8,Sheet8.1!$F$4:$I$7,3,0)</f>
        <v>1150000</v>
      </c>
      <c r="I8" s="121">
        <f>VLOOKUP(C8,Sheet8.1!$F$4:$I$7,4,0)*25</f>
        <v>300000</v>
      </c>
      <c r="J8" s="121">
        <f t="shared" si="0"/>
        <v>4450000</v>
      </c>
      <c r="K8" s="122">
        <f>HLOOKUP(C8,Sheet8.1!$G$11:$J$12,2,0)</f>
        <v>0.02</v>
      </c>
      <c r="L8" s="121">
        <f t="shared" si="1"/>
        <v>4361000</v>
      </c>
      <c r="M8" s="123">
        <f>J8*VLOOKUP(E8,Sheet8.1!$C$4:$D$7,2,0)</f>
        <v>667500</v>
      </c>
      <c r="N8" s="121">
        <f>J8*INDEX(Sheet8.1!$C$12:$C$16,MATCH(F8,Sheet8.1!$D$12:$D$16,0))</f>
        <v>1112500</v>
      </c>
      <c r="O8" s="121">
        <f t="shared" si="2"/>
        <v>2581000</v>
      </c>
    </row>
    <row r="9" spans="2:17" x14ac:dyDescent="0.25">
      <c r="B9" s="124">
        <v>4</v>
      </c>
      <c r="C9" s="119" t="s">
        <v>327</v>
      </c>
      <c r="D9" s="120" t="s">
        <v>328</v>
      </c>
      <c r="E9" s="119" t="s">
        <v>322</v>
      </c>
      <c r="F9" s="119" t="s">
        <v>329</v>
      </c>
      <c r="G9" s="121">
        <f>VLOOKUP(C9,Sheet8.1!$F$4:$I$7,2,0)</f>
        <v>3850000</v>
      </c>
      <c r="H9" s="121">
        <f>VLOOKUP(C9,Sheet8.1!$F$4:$I$7,3,0)</f>
        <v>1850000</v>
      </c>
      <c r="I9" s="121">
        <f>VLOOKUP(C9,Sheet8.1!$F$4:$I$7,4,0)*25</f>
        <v>375000</v>
      </c>
      <c r="J9" s="121">
        <f t="shared" si="0"/>
        <v>6075000</v>
      </c>
      <c r="K9" s="122">
        <f>HLOOKUP(C9,Sheet8.1!$G$11:$J$12,2,0)</f>
        <v>0.05</v>
      </c>
      <c r="L9" s="121">
        <f t="shared" si="1"/>
        <v>5771250</v>
      </c>
      <c r="M9" s="123">
        <f>J9*VLOOKUP(E9,Sheet8.1!$C$4:$D$7,2,0)</f>
        <v>0</v>
      </c>
      <c r="N9" s="121">
        <f>J9*INDEX(Sheet8.1!$C$12:$C$16,MATCH(F9,Sheet8.1!$D$12:$D$16,0))</f>
        <v>0</v>
      </c>
      <c r="O9" s="121">
        <f t="shared" si="2"/>
        <v>5771250</v>
      </c>
    </row>
    <row r="10" spans="2:17" x14ac:dyDescent="0.25">
      <c r="B10" s="124">
        <v>5</v>
      </c>
      <c r="C10" s="119" t="s">
        <v>317</v>
      </c>
      <c r="D10" s="120" t="s">
        <v>330</v>
      </c>
      <c r="E10" s="119" t="s">
        <v>130</v>
      </c>
      <c r="F10" s="119" t="s">
        <v>331</v>
      </c>
      <c r="G10" s="121">
        <f>VLOOKUP(C10,Sheet8.1!$F$4:$I$7,2,0)</f>
        <v>3500000</v>
      </c>
      <c r="H10" s="121">
        <f>VLOOKUP(C10,Sheet8.1!$F$4:$I$7,3,0)</f>
        <v>1650000</v>
      </c>
      <c r="I10" s="121">
        <f>VLOOKUP(C10,Sheet8.1!$F$4:$I$7,4,0)*25</f>
        <v>350000</v>
      </c>
      <c r="J10" s="121">
        <f t="shared" si="0"/>
        <v>5500000</v>
      </c>
      <c r="K10" s="122">
        <f>HLOOKUP(C10,Sheet8.1!$G$11:$J$12,2,0)</f>
        <v>0.04</v>
      </c>
      <c r="L10" s="121">
        <f t="shared" si="1"/>
        <v>5280000</v>
      </c>
      <c r="M10" s="123">
        <f>J10*VLOOKUP(E10,Sheet8.1!$C$4:$D$7,2,0)</f>
        <v>2750000</v>
      </c>
      <c r="N10" s="121">
        <f>J10*INDEX(Sheet8.1!$C$12:$C$16,MATCH(F10,Sheet8.1!$D$12:$D$16,0))</f>
        <v>825000</v>
      </c>
      <c r="O10" s="121">
        <f t="shared" si="2"/>
        <v>1705000</v>
      </c>
    </row>
    <row r="11" spans="2:17" x14ac:dyDescent="0.25">
      <c r="B11" s="124">
        <v>6</v>
      </c>
      <c r="C11" s="119" t="s">
        <v>325</v>
      </c>
      <c r="D11" s="120" t="s">
        <v>332</v>
      </c>
      <c r="E11" s="119" t="s">
        <v>322</v>
      </c>
      <c r="F11" s="119" t="s">
        <v>329</v>
      </c>
      <c r="G11" s="121">
        <f>VLOOKUP(C11,Sheet8.1!$F$4:$I$7,2,0)</f>
        <v>3000000</v>
      </c>
      <c r="H11" s="121">
        <f>VLOOKUP(C11,Sheet8.1!$F$4:$I$7,3,0)</f>
        <v>1150000</v>
      </c>
      <c r="I11" s="121">
        <f>VLOOKUP(C11,Sheet8.1!$F$4:$I$7,4,0)*25</f>
        <v>300000</v>
      </c>
      <c r="J11" s="121">
        <f t="shared" si="0"/>
        <v>4450000</v>
      </c>
      <c r="K11" s="122">
        <f>HLOOKUP(C11,Sheet8.1!$G$11:$J$12,2,0)</f>
        <v>0.02</v>
      </c>
      <c r="L11" s="121">
        <f t="shared" si="1"/>
        <v>4361000</v>
      </c>
      <c r="M11" s="123">
        <f>J11*VLOOKUP(E11,Sheet8.1!$C$4:$D$7,2,0)</f>
        <v>0</v>
      </c>
      <c r="N11" s="121">
        <f>J11*INDEX(Sheet8.1!$C$12:$C$16,MATCH(F11,Sheet8.1!$D$12:$D$16,0))</f>
        <v>0</v>
      </c>
      <c r="O11" s="121">
        <f t="shared" si="2"/>
        <v>4361000</v>
      </c>
    </row>
    <row r="12" spans="2:17" x14ac:dyDescent="0.25">
      <c r="B12" s="124">
        <v>7</v>
      </c>
      <c r="C12" s="119" t="s">
        <v>317</v>
      </c>
      <c r="D12" s="120" t="s">
        <v>333</v>
      </c>
      <c r="E12" s="119" t="s">
        <v>322</v>
      </c>
      <c r="F12" s="119" t="s">
        <v>334</v>
      </c>
      <c r="G12" s="121">
        <f>VLOOKUP(C12,Sheet8.1!$F$4:$I$7,2,0)</f>
        <v>3500000</v>
      </c>
      <c r="H12" s="121">
        <f>VLOOKUP(C12,Sheet8.1!$F$4:$I$7,3,0)</f>
        <v>1650000</v>
      </c>
      <c r="I12" s="121">
        <f>VLOOKUP(C12,Sheet8.1!$F$4:$I$7,4,0)*25</f>
        <v>350000</v>
      </c>
      <c r="J12" s="121">
        <f t="shared" si="0"/>
        <v>5500000</v>
      </c>
      <c r="K12" s="122">
        <f>HLOOKUP(C12,Sheet8.1!$G$11:$J$12,2,0)</f>
        <v>0.04</v>
      </c>
      <c r="L12" s="121">
        <f t="shared" si="1"/>
        <v>5280000</v>
      </c>
      <c r="M12" s="123">
        <f>J12*VLOOKUP(E12,Sheet8.1!$C$4:$D$7,2,0)</f>
        <v>0</v>
      </c>
      <c r="N12" s="121">
        <f>J12*INDEX(Sheet8.1!$C$12:$C$16,MATCH(F12,Sheet8.1!$D$12:$D$16,0))</f>
        <v>550000</v>
      </c>
      <c r="O12" s="121">
        <f t="shared" si="2"/>
        <v>4730000</v>
      </c>
    </row>
    <row r="13" spans="2:17" x14ac:dyDescent="0.25">
      <c r="B13" s="124">
        <v>8</v>
      </c>
      <c r="C13" s="119" t="s">
        <v>327</v>
      </c>
      <c r="D13" s="120" t="s">
        <v>335</v>
      </c>
      <c r="E13" s="119" t="s">
        <v>136</v>
      </c>
      <c r="F13" s="119" t="s">
        <v>319</v>
      </c>
      <c r="G13" s="121">
        <f>VLOOKUP(C13,Sheet8.1!$F$4:$I$7,2,0)</f>
        <v>3850000</v>
      </c>
      <c r="H13" s="121">
        <f>VLOOKUP(C13,Sheet8.1!$F$4:$I$7,3,0)</f>
        <v>1850000</v>
      </c>
      <c r="I13" s="121">
        <f>VLOOKUP(C13,Sheet8.1!$F$4:$I$7,4,0)*25</f>
        <v>375000</v>
      </c>
      <c r="J13" s="121">
        <f t="shared" si="0"/>
        <v>6075000</v>
      </c>
      <c r="K13" s="122">
        <f>HLOOKUP(C13,Sheet8.1!$G$11:$J$12,2,0)</f>
        <v>0.05</v>
      </c>
      <c r="L13" s="121">
        <f t="shared" si="1"/>
        <v>5771250</v>
      </c>
      <c r="M13" s="123">
        <f>J13*VLOOKUP(E13,Sheet8.1!$C$4:$D$7,2,0)</f>
        <v>1518750</v>
      </c>
      <c r="N13" s="121">
        <f>J13*INDEX(Sheet8.1!$C$12:$C$16,MATCH(F13,Sheet8.1!$D$12:$D$16,0))</f>
        <v>303750</v>
      </c>
      <c r="O13" s="121">
        <f t="shared" si="2"/>
        <v>3948750</v>
      </c>
    </row>
    <row r="14" spans="2:17" x14ac:dyDescent="0.25">
      <c r="B14" s="124">
        <v>9</v>
      </c>
      <c r="C14" s="119" t="s">
        <v>327</v>
      </c>
      <c r="D14" s="120" t="s">
        <v>336</v>
      </c>
      <c r="E14" s="119" t="s">
        <v>322</v>
      </c>
      <c r="F14" s="119" t="s">
        <v>329</v>
      </c>
      <c r="G14" s="121">
        <f>VLOOKUP(C14,Sheet8.1!$F$4:$I$7,2,0)</f>
        <v>3850000</v>
      </c>
      <c r="H14" s="121">
        <f>VLOOKUP(C14,Sheet8.1!$F$4:$I$7,3,0)</f>
        <v>1850000</v>
      </c>
      <c r="I14" s="121">
        <f>VLOOKUP(C14,Sheet8.1!$F$4:$I$7,4,0)*25</f>
        <v>375000</v>
      </c>
      <c r="J14" s="121">
        <f t="shared" si="0"/>
        <v>6075000</v>
      </c>
      <c r="K14" s="122">
        <f>HLOOKUP(C14,Sheet8.1!$G$11:$J$12,2,0)</f>
        <v>0.05</v>
      </c>
      <c r="L14" s="121">
        <f t="shared" si="1"/>
        <v>5771250</v>
      </c>
      <c r="M14" s="123">
        <f>J14*VLOOKUP(E14,Sheet8.1!$C$4:$D$7,2,0)</f>
        <v>0</v>
      </c>
      <c r="N14" s="121">
        <f>J14*INDEX(Sheet8.1!$C$12:$C$16,MATCH(F14,Sheet8.1!$D$12:$D$16,0))</f>
        <v>0</v>
      </c>
      <c r="O14" s="121">
        <f t="shared" si="2"/>
        <v>5771250</v>
      </c>
    </row>
    <row r="15" spans="2:17" x14ac:dyDescent="0.25">
      <c r="B15" s="124">
        <v>10</v>
      </c>
      <c r="C15" s="119" t="s">
        <v>327</v>
      </c>
      <c r="D15" s="120" t="s">
        <v>337</v>
      </c>
      <c r="E15" s="119" t="s">
        <v>318</v>
      </c>
      <c r="F15" s="119" t="s">
        <v>319</v>
      </c>
      <c r="G15" s="121">
        <f>VLOOKUP(C15,Sheet8.1!$F$4:$I$7,2,0)</f>
        <v>3850000</v>
      </c>
      <c r="H15" s="121">
        <f>VLOOKUP(C15,Sheet8.1!$F$4:$I$7,3,0)</f>
        <v>1850000</v>
      </c>
      <c r="I15" s="121">
        <f>VLOOKUP(C15,Sheet8.1!$F$4:$I$7,4,0)*25</f>
        <v>375000</v>
      </c>
      <c r="J15" s="121">
        <f t="shared" si="0"/>
        <v>6075000</v>
      </c>
      <c r="K15" s="122">
        <f>HLOOKUP(C15,Sheet8.1!$G$11:$J$12,2,0)</f>
        <v>0.05</v>
      </c>
      <c r="L15" s="121">
        <f t="shared" si="1"/>
        <v>5771250</v>
      </c>
      <c r="M15" s="123">
        <f>J15*VLOOKUP(E15,Sheet8.1!$C$4:$D$7,2,0)</f>
        <v>911250</v>
      </c>
      <c r="N15" s="121">
        <f>J15*INDEX(Sheet8.1!$C$12:$C$16,MATCH(F15,Sheet8.1!$D$12:$D$16,0))</f>
        <v>303750</v>
      </c>
      <c r="O15" s="121">
        <f t="shared" si="2"/>
        <v>4556250</v>
      </c>
    </row>
    <row r="16" spans="2:17" x14ac:dyDescent="0.25">
      <c r="B16" s="124">
        <v>11</v>
      </c>
      <c r="C16" s="119" t="s">
        <v>325</v>
      </c>
      <c r="D16" s="120" t="s">
        <v>338</v>
      </c>
      <c r="E16" s="119" t="s">
        <v>318</v>
      </c>
      <c r="F16" s="119" t="s">
        <v>329</v>
      </c>
      <c r="G16" s="121">
        <f>VLOOKUP(C16,Sheet8.1!$F$4:$I$7,2,0)</f>
        <v>3000000</v>
      </c>
      <c r="H16" s="121">
        <f>VLOOKUP(C16,Sheet8.1!$F$4:$I$7,3,0)</f>
        <v>1150000</v>
      </c>
      <c r="I16" s="121">
        <f>VLOOKUP(C16,Sheet8.1!$F$4:$I$7,4,0)*25</f>
        <v>300000</v>
      </c>
      <c r="J16" s="121">
        <f t="shared" si="0"/>
        <v>4450000</v>
      </c>
      <c r="K16" s="122">
        <f>HLOOKUP(C16,Sheet8.1!$G$11:$J$12,2,0)</f>
        <v>0.02</v>
      </c>
      <c r="L16" s="121">
        <f t="shared" si="1"/>
        <v>4361000</v>
      </c>
      <c r="M16" s="123">
        <f>J16*VLOOKUP(E16,Sheet8.1!$C$4:$D$7,2,0)</f>
        <v>667500</v>
      </c>
      <c r="N16" s="121">
        <f>J16*INDEX(Sheet8.1!$C$12:$C$16,MATCH(F16,Sheet8.1!$D$12:$D$16,0))</f>
        <v>0</v>
      </c>
      <c r="O16" s="121">
        <f t="shared" si="2"/>
        <v>3693500</v>
      </c>
    </row>
    <row r="17" spans="2:15" x14ac:dyDescent="0.25">
      <c r="B17" s="124">
        <v>12</v>
      </c>
      <c r="C17" s="119" t="s">
        <v>317</v>
      </c>
      <c r="D17" s="120" t="s">
        <v>339</v>
      </c>
      <c r="E17" s="119" t="s">
        <v>136</v>
      </c>
      <c r="F17" s="119" t="s">
        <v>334</v>
      </c>
      <c r="G17" s="121">
        <f>VLOOKUP(C17,Sheet8.1!$F$4:$I$7,2,0)</f>
        <v>3500000</v>
      </c>
      <c r="H17" s="121">
        <f>VLOOKUP(C17,Sheet8.1!$F$4:$I$7,3,0)</f>
        <v>1650000</v>
      </c>
      <c r="I17" s="121">
        <f>VLOOKUP(C17,Sheet8.1!$F$4:$I$7,4,0)*25</f>
        <v>350000</v>
      </c>
      <c r="J17" s="121">
        <f t="shared" si="0"/>
        <v>5500000</v>
      </c>
      <c r="K17" s="122">
        <f>HLOOKUP(C17,Sheet8.1!$G$11:$J$12,2,0)</f>
        <v>0.04</v>
      </c>
      <c r="L17" s="121">
        <f t="shared" si="1"/>
        <v>5280000</v>
      </c>
      <c r="M17" s="123">
        <f>J17*VLOOKUP(E17,Sheet8.1!$C$4:$D$7,2,0)</f>
        <v>1375000</v>
      </c>
      <c r="N17" s="121">
        <f>J17*INDEX(Sheet8.1!$C$12:$C$16,MATCH(F17,Sheet8.1!$D$12:$D$16,0))</f>
        <v>550000</v>
      </c>
      <c r="O17" s="121">
        <f t="shared" si="2"/>
        <v>3355000</v>
      </c>
    </row>
    <row r="18" spans="2:15" x14ac:dyDescent="0.25">
      <c r="B18" s="124">
        <v>13</v>
      </c>
      <c r="C18" s="119" t="s">
        <v>327</v>
      </c>
      <c r="D18" s="120" t="s">
        <v>340</v>
      </c>
      <c r="E18" s="119" t="s">
        <v>322</v>
      </c>
      <c r="F18" s="119" t="s">
        <v>329</v>
      </c>
      <c r="G18" s="121">
        <f>VLOOKUP(C18,Sheet8.1!$F$4:$I$7,2,0)</f>
        <v>3850000</v>
      </c>
      <c r="H18" s="121">
        <f>VLOOKUP(C18,Sheet8.1!$F$4:$I$7,3,0)</f>
        <v>1850000</v>
      </c>
      <c r="I18" s="121">
        <f>VLOOKUP(C18,Sheet8.1!$F$4:$I$7,4,0)*25</f>
        <v>375000</v>
      </c>
      <c r="J18" s="121">
        <f t="shared" si="0"/>
        <v>6075000</v>
      </c>
      <c r="K18" s="122">
        <f>HLOOKUP(C18,Sheet8.1!$G$11:$J$12,2,0)</f>
        <v>0.05</v>
      </c>
      <c r="L18" s="121">
        <f t="shared" si="1"/>
        <v>5771250</v>
      </c>
      <c r="M18" s="123">
        <f>J18*VLOOKUP(E18,Sheet8.1!$C$4:$D$7,2,0)</f>
        <v>0</v>
      </c>
      <c r="N18" s="121">
        <f>J18*INDEX(Sheet8.1!$C$12:$C$16,MATCH(F18,Sheet8.1!$D$12:$D$16,0))</f>
        <v>0</v>
      </c>
      <c r="O18" s="121">
        <f t="shared" si="2"/>
        <v>5771250</v>
      </c>
    </row>
    <row r="19" spans="2:15" x14ac:dyDescent="0.25">
      <c r="B19" s="124">
        <v>14</v>
      </c>
      <c r="C19" s="119" t="s">
        <v>317</v>
      </c>
      <c r="D19" s="120" t="s">
        <v>341</v>
      </c>
      <c r="E19" s="119" t="s">
        <v>136</v>
      </c>
      <c r="F19" s="119" t="s">
        <v>319</v>
      </c>
      <c r="G19" s="121">
        <f>VLOOKUP(C19,Sheet8.1!$F$4:$I$7,2,0)</f>
        <v>3500000</v>
      </c>
      <c r="H19" s="121">
        <f>VLOOKUP(C19,Sheet8.1!$F$4:$I$7,3,0)</f>
        <v>1650000</v>
      </c>
      <c r="I19" s="121">
        <f>VLOOKUP(C19,Sheet8.1!$F$4:$I$7,4,0)*25</f>
        <v>350000</v>
      </c>
      <c r="J19" s="121">
        <f t="shared" si="0"/>
        <v>5500000</v>
      </c>
      <c r="K19" s="122">
        <f>HLOOKUP(C19,Sheet8.1!$G$11:$J$12,2,0)</f>
        <v>0.04</v>
      </c>
      <c r="L19" s="121">
        <f t="shared" si="1"/>
        <v>5280000</v>
      </c>
      <c r="M19" s="123">
        <f>J19*VLOOKUP(E19,Sheet8.1!$C$4:$D$7,2,0)</f>
        <v>1375000</v>
      </c>
      <c r="N19" s="121">
        <f>J19*INDEX(Sheet8.1!$C$12:$C$16,MATCH(F19,Sheet8.1!$D$12:$D$16,0))</f>
        <v>275000</v>
      </c>
      <c r="O19" s="121">
        <f t="shared" si="2"/>
        <v>3630000</v>
      </c>
    </row>
    <row r="20" spans="2:15" x14ac:dyDescent="0.25">
      <c r="B20" s="124">
        <v>15</v>
      </c>
      <c r="C20" s="119" t="s">
        <v>320</v>
      </c>
      <c r="D20" s="120" t="s">
        <v>342</v>
      </c>
      <c r="E20" s="119" t="s">
        <v>322</v>
      </c>
      <c r="F20" s="119" t="s">
        <v>331</v>
      </c>
      <c r="G20" s="121">
        <f>VLOOKUP(C20,Sheet8.1!$F$4:$I$7,2,0)</f>
        <v>3200000</v>
      </c>
      <c r="H20" s="121">
        <f>VLOOKUP(C20,Sheet8.1!$F$4:$I$7,3,0)</f>
        <v>1350000</v>
      </c>
      <c r="I20" s="121">
        <f>VLOOKUP(C20,Sheet8.1!$F$4:$I$7,4,0)*25</f>
        <v>325000</v>
      </c>
      <c r="J20" s="121">
        <f t="shared" si="0"/>
        <v>4875000</v>
      </c>
      <c r="K20" s="122">
        <f>HLOOKUP(C20,Sheet8.1!$G$11:$J$12,2,0)</f>
        <v>0.03</v>
      </c>
      <c r="L20" s="121">
        <f t="shared" si="1"/>
        <v>4728750</v>
      </c>
      <c r="M20" s="123">
        <f>J20*VLOOKUP(E20,Sheet8.1!$C$4:$D$7,2,0)</f>
        <v>0</v>
      </c>
      <c r="N20" s="121">
        <f>J20*INDEX(Sheet8.1!$C$12:$C$16,MATCH(F20,Sheet8.1!$D$12:$D$16,0))</f>
        <v>731250</v>
      </c>
      <c r="O20" s="121">
        <f t="shared" si="2"/>
        <v>3997500</v>
      </c>
    </row>
    <row r="21" spans="2:15" x14ac:dyDescent="0.25">
      <c r="B21" s="124">
        <v>16</v>
      </c>
      <c r="C21" s="119" t="s">
        <v>317</v>
      </c>
      <c r="D21" s="120" t="s">
        <v>343</v>
      </c>
      <c r="E21" s="119" t="s">
        <v>318</v>
      </c>
      <c r="F21" s="119" t="s">
        <v>329</v>
      </c>
      <c r="G21" s="121">
        <f>VLOOKUP(C21,Sheet8.1!$F$4:$I$7,2,0)</f>
        <v>3500000</v>
      </c>
      <c r="H21" s="121">
        <f>VLOOKUP(C21,Sheet8.1!$F$4:$I$7,3,0)</f>
        <v>1650000</v>
      </c>
      <c r="I21" s="121">
        <f>VLOOKUP(C21,Sheet8.1!$F$4:$I$7,4,0)*25</f>
        <v>350000</v>
      </c>
      <c r="J21" s="121">
        <f t="shared" si="0"/>
        <v>5500000</v>
      </c>
      <c r="K21" s="122">
        <f>HLOOKUP(C21,Sheet8.1!$G$11:$J$12,2,0)</f>
        <v>0.04</v>
      </c>
      <c r="L21" s="121">
        <f t="shared" si="1"/>
        <v>5280000</v>
      </c>
      <c r="M21" s="123">
        <f>J21*VLOOKUP(E21,Sheet8.1!$C$4:$D$7,2,0)</f>
        <v>825000</v>
      </c>
      <c r="N21" s="121">
        <f>J21*INDEX(Sheet8.1!$C$12:$C$16,MATCH(F21,Sheet8.1!$D$12:$D$16,0))</f>
        <v>0</v>
      </c>
      <c r="O21" s="121">
        <f t="shared" si="2"/>
        <v>4455000</v>
      </c>
    </row>
    <row r="22" spans="2:15" x14ac:dyDescent="0.25">
      <c r="B22" s="124">
        <v>17</v>
      </c>
      <c r="C22" s="119" t="s">
        <v>325</v>
      </c>
      <c r="D22" s="120" t="s">
        <v>344</v>
      </c>
      <c r="E22" s="119" t="s">
        <v>318</v>
      </c>
      <c r="F22" s="119" t="s">
        <v>329</v>
      </c>
      <c r="G22" s="121">
        <f>VLOOKUP(C22,Sheet8.1!$F$4:$I$7,2,0)</f>
        <v>3000000</v>
      </c>
      <c r="H22" s="121">
        <f>VLOOKUP(C22,Sheet8.1!$F$4:$I$7,3,0)</f>
        <v>1150000</v>
      </c>
      <c r="I22" s="121">
        <f>VLOOKUP(C22,Sheet8.1!$F$4:$I$7,4,0)*25</f>
        <v>300000</v>
      </c>
      <c r="J22" s="121">
        <f t="shared" si="0"/>
        <v>4450000</v>
      </c>
      <c r="K22" s="122">
        <f>HLOOKUP(C22,Sheet8.1!$G$11:$J$12,2,0)</f>
        <v>0.02</v>
      </c>
      <c r="L22" s="121">
        <f t="shared" si="1"/>
        <v>4361000</v>
      </c>
      <c r="M22" s="123">
        <f>J22*VLOOKUP(E22,Sheet8.1!$C$4:$D$7,2,0)</f>
        <v>667500</v>
      </c>
      <c r="N22" s="121">
        <f>J22*INDEX(Sheet8.1!$C$12:$C$16,MATCH(F22,Sheet8.1!$D$12:$D$16,0))</f>
        <v>0</v>
      </c>
      <c r="O22" s="121">
        <f t="shared" si="2"/>
        <v>3693500</v>
      </c>
    </row>
    <row r="23" spans="2:15" x14ac:dyDescent="0.25">
      <c r="B23" s="124">
        <v>18</v>
      </c>
      <c r="C23" s="119" t="s">
        <v>327</v>
      </c>
      <c r="D23" s="120" t="s">
        <v>345</v>
      </c>
      <c r="E23" s="119" t="s">
        <v>322</v>
      </c>
      <c r="F23" s="119" t="s">
        <v>334</v>
      </c>
      <c r="G23" s="121">
        <f>VLOOKUP(C23,Sheet8.1!$F$4:$I$7,2,0)</f>
        <v>3850000</v>
      </c>
      <c r="H23" s="121">
        <f>VLOOKUP(C23,Sheet8.1!$F$4:$I$7,3,0)</f>
        <v>1850000</v>
      </c>
      <c r="I23" s="121">
        <f>VLOOKUP(C23,Sheet8.1!$F$4:$I$7,4,0)*25</f>
        <v>375000</v>
      </c>
      <c r="J23" s="121">
        <f t="shared" si="0"/>
        <v>6075000</v>
      </c>
      <c r="K23" s="122">
        <f>HLOOKUP(C23,Sheet8.1!$G$11:$J$12,2,0)</f>
        <v>0.05</v>
      </c>
      <c r="L23" s="121">
        <f t="shared" si="1"/>
        <v>5771250</v>
      </c>
      <c r="M23" s="123">
        <f>J23*VLOOKUP(E23,Sheet8.1!$C$4:$D$7,2,0)</f>
        <v>0</v>
      </c>
      <c r="N23" s="121">
        <f>J23*INDEX(Sheet8.1!$C$12:$C$16,MATCH(F23,Sheet8.1!$D$12:$D$16,0))</f>
        <v>607500</v>
      </c>
      <c r="O23" s="121">
        <f t="shared" si="2"/>
        <v>5163750</v>
      </c>
    </row>
    <row r="24" spans="2:15" x14ac:dyDescent="0.25">
      <c r="B24" s="124">
        <v>19</v>
      </c>
      <c r="C24" s="119" t="s">
        <v>317</v>
      </c>
      <c r="D24" s="120" t="s">
        <v>346</v>
      </c>
      <c r="E24" s="119" t="s">
        <v>322</v>
      </c>
      <c r="F24" s="119" t="s">
        <v>329</v>
      </c>
      <c r="G24" s="121">
        <f>VLOOKUP(C24,Sheet8.1!$F$4:$I$7,2,0)</f>
        <v>3500000</v>
      </c>
      <c r="H24" s="121">
        <f>VLOOKUP(C24,Sheet8.1!$F$4:$I$7,3,0)</f>
        <v>1650000</v>
      </c>
      <c r="I24" s="121">
        <f>VLOOKUP(C24,Sheet8.1!$F$4:$I$7,4,0)*25</f>
        <v>350000</v>
      </c>
      <c r="J24" s="121">
        <f t="shared" si="0"/>
        <v>5500000</v>
      </c>
      <c r="K24" s="122">
        <f>HLOOKUP(C24,Sheet8.1!$G$11:$J$12,2,0)</f>
        <v>0.04</v>
      </c>
      <c r="L24" s="121">
        <f t="shared" si="1"/>
        <v>5280000</v>
      </c>
      <c r="M24" s="123">
        <f>J24*VLOOKUP(E24,Sheet8.1!$C$4:$D$7,2,0)</f>
        <v>0</v>
      </c>
      <c r="N24" s="121">
        <f>J24*INDEX(Sheet8.1!$C$12:$C$16,MATCH(F24,Sheet8.1!$D$12:$D$16,0))</f>
        <v>0</v>
      </c>
      <c r="O24" s="121">
        <f t="shared" si="2"/>
        <v>5280000</v>
      </c>
    </row>
    <row r="25" spans="2:15" x14ac:dyDescent="0.25">
      <c r="B25" s="124">
        <v>20</v>
      </c>
      <c r="C25" s="119" t="s">
        <v>325</v>
      </c>
      <c r="D25" s="120" t="s">
        <v>347</v>
      </c>
      <c r="E25" s="119" t="s">
        <v>322</v>
      </c>
      <c r="F25" s="119" t="s">
        <v>334</v>
      </c>
      <c r="G25" s="121">
        <f>VLOOKUP(C25,Sheet8.1!$F$4:$I$7,2,0)</f>
        <v>3000000</v>
      </c>
      <c r="H25" s="121">
        <f>VLOOKUP(C25,Sheet8.1!$F$4:$I$7,3,0)</f>
        <v>1150000</v>
      </c>
      <c r="I25" s="121">
        <f>VLOOKUP(C25,Sheet8.1!$F$4:$I$7,4,0)*25</f>
        <v>300000</v>
      </c>
      <c r="J25" s="121">
        <f t="shared" si="0"/>
        <v>4450000</v>
      </c>
      <c r="K25" s="122">
        <f>HLOOKUP(C25,Sheet8.1!$G$11:$J$12,2,0)</f>
        <v>0.02</v>
      </c>
      <c r="L25" s="121">
        <f t="shared" si="1"/>
        <v>4361000</v>
      </c>
      <c r="M25" s="123">
        <f>J25*VLOOKUP(E25,Sheet8.1!$C$4:$D$7,2,0)</f>
        <v>0</v>
      </c>
      <c r="N25" s="121">
        <f>J25*INDEX(Sheet8.1!$C$12:$C$16,MATCH(F25,Sheet8.1!$D$12:$D$16,0))</f>
        <v>445000</v>
      </c>
      <c r="O25" s="121">
        <f t="shared" si="2"/>
        <v>3916000</v>
      </c>
    </row>
    <row r="26" spans="2:15" x14ac:dyDescent="0.25">
      <c r="B26" s="124">
        <v>21</v>
      </c>
      <c r="C26" s="119" t="s">
        <v>327</v>
      </c>
      <c r="D26" s="120" t="s">
        <v>348</v>
      </c>
      <c r="E26" s="119" t="s">
        <v>130</v>
      </c>
      <c r="F26" s="119" t="s">
        <v>323</v>
      </c>
      <c r="G26" s="121">
        <f>VLOOKUP(C26,Sheet8.1!$F$4:$I$7,2,0)</f>
        <v>3850000</v>
      </c>
      <c r="H26" s="121">
        <f>VLOOKUP(C26,Sheet8.1!$F$4:$I$7,3,0)</f>
        <v>1850000</v>
      </c>
      <c r="I26" s="121">
        <f>VLOOKUP(C26,Sheet8.1!$F$4:$I$7,4,0)*25</f>
        <v>375000</v>
      </c>
      <c r="J26" s="121">
        <f t="shared" si="0"/>
        <v>6075000</v>
      </c>
      <c r="K26" s="122">
        <f>HLOOKUP(C26,Sheet8.1!$G$11:$J$12,2,0)</f>
        <v>0.05</v>
      </c>
      <c r="L26" s="121">
        <f t="shared" si="1"/>
        <v>5771250</v>
      </c>
      <c r="M26" s="123">
        <f>J26*VLOOKUP(E26,Sheet8.1!$C$4:$D$7,2,0)</f>
        <v>3037500</v>
      </c>
      <c r="N26" s="121">
        <f>J26*INDEX(Sheet8.1!$C$12:$C$16,MATCH(F26,Sheet8.1!$D$12:$D$16,0))</f>
        <v>1518750</v>
      </c>
      <c r="O26" s="121">
        <f t="shared" si="2"/>
        <v>1215000</v>
      </c>
    </row>
    <row r="27" spans="2:15" x14ac:dyDescent="0.25">
      <c r="B27" s="124">
        <v>22</v>
      </c>
      <c r="C27" s="119" t="s">
        <v>325</v>
      </c>
      <c r="D27" s="120" t="s">
        <v>349</v>
      </c>
      <c r="E27" s="119" t="s">
        <v>322</v>
      </c>
      <c r="F27" s="119" t="s">
        <v>331</v>
      </c>
      <c r="G27" s="121">
        <f>VLOOKUP(C27,Sheet8.1!$F$4:$I$7,2,0)</f>
        <v>3000000</v>
      </c>
      <c r="H27" s="121">
        <f>VLOOKUP(C27,Sheet8.1!$F$4:$I$7,3,0)</f>
        <v>1150000</v>
      </c>
      <c r="I27" s="121">
        <f>VLOOKUP(C27,Sheet8.1!$F$4:$I$7,4,0)*25</f>
        <v>300000</v>
      </c>
      <c r="J27" s="121">
        <f t="shared" si="0"/>
        <v>4450000</v>
      </c>
      <c r="K27" s="122">
        <f>HLOOKUP(C27,Sheet8.1!$G$11:$J$12,2,0)</f>
        <v>0.02</v>
      </c>
      <c r="L27" s="121">
        <f t="shared" si="1"/>
        <v>4361000</v>
      </c>
      <c r="M27" s="123">
        <f>J27*VLOOKUP(E27,Sheet8.1!$C$4:$D$7,2,0)</f>
        <v>0</v>
      </c>
      <c r="N27" s="121">
        <f>J27*INDEX(Sheet8.1!$C$12:$C$16,MATCH(F27,Sheet8.1!$D$12:$D$16,0))</f>
        <v>667500</v>
      </c>
      <c r="O27" s="121">
        <f t="shared" si="2"/>
        <v>3693500</v>
      </c>
    </row>
    <row r="28" spans="2:15" ht="15.75" thickBot="1" x14ac:dyDescent="0.3">
      <c r="B28" s="124">
        <v>23</v>
      </c>
      <c r="C28" s="119" t="s">
        <v>317</v>
      </c>
      <c r="D28" s="120" t="s">
        <v>350</v>
      </c>
      <c r="E28" s="119" t="s">
        <v>322</v>
      </c>
      <c r="F28" s="119" t="s">
        <v>329</v>
      </c>
      <c r="G28" s="121">
        <f>VLOOKUP(C28,Sheet8.1!$F$4:$I$7,2,0)</f>
        <v>3500000</v>
      </c>
      <c r="H28" s="121">
        <f>VLOOKUP(C28,Sheet8.1!$F$4:$I$7,3,0)</f>
        <v>1650000</v>
      </c>
      <c r="I28" s="121">
        <f>VLOOKUP(C28,Sheet8.1!$F$4:$I$7,4,0)*25</f>
        <v>350000</v>
      </c>
      <c r="J28" s="121">
        <f t="shared" si="0"/>
        <v>5500000</v>
      </c>
      <c r="K28" s="122">
        <f>HLOOKUP(C28,Sheet8.1!$G$11:$J$12,2,0)</f>
        <v>0.04</v>
      </c>
      <c r="L28" s="121">
        <f t="shared" si="1"/>
        <v>5280000</v>
      </c>
      <c r="M28" s="123">
        <f>J28*VLOOKUP(E28,Sheet8.1!$C$4:$D$7,2,0)</f>
        <v>0</v>
      </c>
      <c r="N28" s="121">
        <f>J28*INDEX(Sheet8.1!$C$12:$C$16,MATCH(F28,Sheet8.1!$D$12:$D$16,0))</f>
        <v>0</v>
      </c>
      <c r="O28" s="121">
        <f t="shared" si="2"/>
        <v>5280000</v>
      </c>
    </row>
    <row r="29" spans="2:15" ht="16.5" thickBot="1" x14ac:dyDescent="0.3">
      <c r="B29" s="125"/>
      <c r="C29" s="2">
        <v>10</v>
      </c>
      <c r="D29" s="195" t="s">
        <v>155</v>
      </c>
      <c r="E29" s="195"/>
      <c r="F29" s="196"/>
      <c r="G29" s="222">
        <f>SUM(G6:G28)</f>
        <v>79350000</v>
      </c>
      <c r="H29" s="126">
        <f>SUM(H6:H28)</f>
        <v>35750000</v>
      </c>
      <c r="I29" s="126">
        <f>SUM(I6:I28)</f>
        <v>7875000</v>
      </c>
      <c r="J29" s="126">
        <f>SUM(J6:J28)</f>
        <v>122975000</v>
      </c>
      <c r="K29" s="223">
        <f>AVERAGE(K6:K28)</f>
        <v>3.695652173913045E-2</v>
      </c>
      <c r="L29" s="126">
        <f>SUM(L6:L28)</f>
        <v>118262250</v>
      </c>
      <c r="M29" s="126">
        <f>SUM(M6:M28)</f>
        <v>13795000</v>
      </c>
      <c r="N29" s="126">
        <f>SUM(N6:N28)</f>
        <v>9383750</v>
      </c>
      <c r="O29" s="126">
        <f>SUM(O6:O28)</f>
        <v>95083500</v>
      </c>
    </row>
  </sheetData>
  <mergeCells count="12">
    <mergeCell ref="K2:K3"/>
    <mergeCell ref="L2:L3"/>
    <mergeCell ref="M2:M3"/>
    <mergeCell ref="N2:N3"/>
    <mergeCell ref="O2:O3"/>
    <mergeCell ref="G2:I2"/>
    <mergeCell ref="J2:J3"/>
    <mergeCell ref="D29:F29"/>
    <mergeCell ref="B2:B3"/>
    <mergeCell ref="C2:C3"/>
    <mergeCell ref="D2:D3"/>
    <mergeCell ref="E2:F2"/>
  </mergeCells>
  <conditionalFormatting sqref="E4">
    <cfRule type="containsText" dxfId="46" priority="1" operator="containsText" text="B">
      <formula>NOT(ISERROR(SEARCH("B",E4)))</formula>
    </cfRule>
    <cfRule type="containsText" dxfId="45" priority="2" operator="containsText" text="S">
      <formula>NOT(ISERROR(SEARCH("S",E4)))</formula>
    </cfRule>
    <cfRule type="containsText" dxfId="44" priority="3" operator="containsText" text="R">
      <formula>NOT(ISERROR(SEARCH("R",E4)))</formula>
    </cfRule>
    <cfRule type="containsText" dxfId="43" priority="4" operator="containsText" text="N">
      <formula>NOT(ISERROR(SEARCH("N",E4)))</formula>
    </cfRule>
  </conditionalFormatting>
  <conditionalFormatting sqref="E6:E28">
    <cfRule type="containsText" dxfId="42" priority="5" operator="containsText" text="B">
      <formula>NOT(ISERROR(SEARCH("B",E6)))</formula>
    </cfRule>
    <cfRule type="containsText" dxfId="41" priority="6" operator="containsText" text="S">
      <formula>NOT(ISERROR(SEARCH("S",E6)))</formula>
    </cfRule>
    <cfRule type="containsText" dxfId="40" priority="7" operator="containsText" text="R">
      <formula>NOT(ISERROR(SEARCH("R",E6)))</formula>
    </cfRule>
    <cfRule type="containsText" dxfId="39" priority="8" operator="containsText" text="N">
      <formula>NOT(ISERROR(SEARCH("N",E6)))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6185-AE2D-45BA-ABD2-21EEA4D0983B}">
  <dimension ref="B2:J17"/>
  <sheetViews>
    <sheetView workbookViewId="0">
      <selection activeCell="C12" sqref="C12"/>
    </sheetView>
  </sheetViews>
  <sheetFormatPr defaultRowHeight="15" x14ac:dyDescent="0.25"/>
  <cols>
    <col min="2" max="2" width="13.140625" bestFit="1" customWidth="1"/>
    <col min="3" max="3" width="6.28515625" bestFit="1" customWidth="1"/>
    <col min="4" max="4" width="13.42578125" bestFit="1" customWidth="1"/>
    <col min="6" max="6" width="7.85546875" bestFit="1" customWidth="1"/>
    <col min="7" max="8" width="12.42578125" bestFit="1" customWidth="1"/>
    <col min="9" max="9" width="13.7109375" customWidth="1"/>
    <col min="10" max="10" width="6.42578125" customWidth="1"/>
  </cols>
  <sheetData>
    <row r="2" spans="2:10" ht="15.75" x14ac:dyDescent="0.25">
      <c r="B2" s="197" t="s">
        <v>360</v>
      </c>
      <c r="C2" s="198"/>
      <c r="D2" s="199"/>
      <c r="E2" s="136"/>
      <c r="F2" s="200" t="s">
        <v>361</v>
      </c>
      <c r="G2" s="200"/>
      <c r="H2" s="200"/>
      <c r="I2" s="200"/>
      <c r="J2" s="136"/>
    </row>
    <row r="3" spans="2:10" ht="47.25" x14ac:dyDescent="0.25">
      <c r="B3" s="138" t="s">
        <v>362</v>
      </c>
      <c r="C3" s="138" t="s">
        <v>363</v>
      </c>
      <c r="D3" s="138" t="s">
        <v>364</v>
      </c>
      <c r="E3" s="136"/>
      <c r="F3" s="137" t="s">
        <v>309</v>
      </c>
      <c r="G3" s="137" t="s">
        <v>314</v>
      </c>
      <c r="H3" s="137" t="s">
        <v>315</v>
      </c>
      <c r="I3" s="137" t="s">
        <v>365</v>
      </c>
      <c r="J3" s="136"/>
    </row>
    <row r="4" spans="2:10" ht="15.75" x14ac:dyDescent="0.25">
      <c r="B4" s="128" t="s">
        <v>366</v>
      </c>
      <c r="C4" s="129" t="s">
        <v>130</v>
      </c>
      <c r="D4" s="128">
        <v>0.5</v>
      </c>
      <c r="E4" s="136"/>
      <c r="F4" s="130" t="s">
        <v>325</v>
      </c>
      <c r="G4" s="131">
        <v>3000000</v>
      </c>
      <c r="H4" s="131">
        <v>1150000</v>
      </c>
      <c r="I4" s="131">
        <v>12000</v>
      </c>
      <c r="J4" s="136"/>
    </row>
    <row r="5" spans="2:10" ht="15.75" x14ac:dyDescent="0.25">
      <c r="B5" s="128" t="s">
        <v>367</v>
      </c>
      <c r="C5" s="129" t="s">
        <v>136</v>
      </c>
      <c r="D5" s="128">
        <v>0.25</v>
      </c>
      <c r="E5" s="136"/>
      <c r="F5" s="130" t="s">
        <v>320</v>
      </c>
      <c r="G5" s="131">
        <v>3200000</v>
      </c>
      <c r="H5" s="131">
        <v>1350000</v>
      </c>
      <c r="I5" s="131">
        <v>13000</v>
      </c>
      <c r="J5" s="136"/>
    </row>
    <row r="6" spans="2:10" ht="15.75" x14ac:dyDescent="0.25">
      <c r="B6" s="132" t="s">
        <v>368</v>
      </c>
      <c r="C6" s="133" t="s">
        <v>318</v>
      </c>
      <c r="D6" s="132">
        <v>0.15</v>
      </c>
      <c r="E6" s="136"/>
      <c r="F6" s="130" t="s">
        <v>317</v>
      </c>
      <c r="G6" s="131">
        <v>3500000</v>
      </c>
      <c r="H6" s="131">
        <v>1650000</v>
      </c>
      <c r="I6" s="131">
        <v>14000</v>
      </c>
      <c r="J6" s="136"/>
    </row>
    <row r="7" spans="2:10" ht="15.75" x14ac:dyDescent="0.25">
      <c r="B7" s="132" t="s">
        <v>369</v>
      </c>
      <c r="C7" s="133" t="s">
        <v>322</v>
      </c>
      <c r="D7" s="132">
        <v>0</v>
      </c>
      <c r="E7" s="136"/>
      <c r="F7" s="130" t="s">
        <v>327</v>
      </c>
      <c r="G7" s="131">
        <v>3850000</v>
      </c>
      <c r="H7" s="131">
        <v>1850000</v>
      </c>
      <c r="I7" s="131">
        <v>15000</v>
      </c>
      <c r="J7" s="136"/>
    </row>
    <row r="8" spans="2:10" ht="15.75" x14ac:dyDescent="0.25">
      <c r="B8" s="136"/>
      <c r="C8" s="136"/>
      <c r="D8" s="136"/>
      <c r="E8" s="136"/>
      <c r="F8" s="136"/>
      <c r="G8" s="136"/>
      <c r="H8" s="136"/>
      <c r="I8" s="136"/>
      <c r="J8" s="136"/>
    </row>
    <row r="9" spans="2:10" ht="15.75" x14ac:dyDescent="0.25">
      <c r="B9" s="136"/>
      <c r="C9" s="136"/>
      <c r="D9" s="136"/>
      <c r="E9" s="136"/>
      <c r="F9" s="136"/>
      <c r="G9" s="136"/>
      <c r="H9" s="136"/>
      <c r="I9" s="136"/>
      <c r="J9" s="136"/>
    </row>
    <row r="10" spans="2:10" ht="15.75" x14ac:dyDescent="0.25">
      <c r="B10" s="201" t="s">
        <v>370</v>
      </c>
      <c r="C10" s="202"/>
      <c r="D10" s="203"/>
      <c r="E10" s="136"/>
      <c r="F10" s="204" t="s">
        <v>371</v>
      </c>
      <c r="G10" s="204"/>
      <c r="H10" s="204"/>
      <c r="I10" s="204"/>
      <c r="J10" s="204"/>
    </row>
    <row r="11" spans="2:10" ht="31.5" x14ac:dyDescent="0.25">
      <c r="B11" s="139" t="s">
        <v>372</v>
      </c>
      <c r="C11" s="139" t="s">
        <v>373</v>
      </c>
      <c r="D11" s="139" t="s">
        <v>363</v>
      </c>
      <c r="E11" s="136"/>
      <c r="F11" s="140" t="s">
        <v>309</v>
      </c>
      <c r="G11" s="134" t="s">
        <v>325</v>
      </c>
      <c r="H11" s="134" t="s">
        <v>320</v>
      </c>
      <c r="I11" s="134" t="s">
        <v>317</v>
      </c>
      <c r="J11" s="134" t="s">
        <v>327</v>
      </c>
    </row>
    <row r="12" spans="2:10" ht="15.75" x14ac:dyDescent="0.25">
      <c r="B12" s="133" t="s">
        <v>374</v>
      </c>
      <c r="C12" s="132">
        <v>0</v>
      </c>
      <c r="D12" s="130" t="s">
        <v>329</v>
      </c>
      <c r="E12" s="136"/>
      <c r="F12" s="134" t="s">
        <v>375</v>
      </c>
      <c r="G12" s="135">
        <v>0.02</v>
      </c>
      <c r="H12" s="135">
        <v>0.03</v>
      </c>
      <c r="I12" s="135">
        <v>0.04</v>
      </c>
      <c r="J12" s="135">
        <v>0.05</v>
      </c>
    </row>
    <row r="13" spans="2:10" ht="15.75" x14ac:dyDescent="0.25">
      <c r="B13" s="133" t="s">
        <v>376</v>
      </c>
      <c r="C13" s="132">
        <v>0.05</v>
      </c>
      <c r="D13" s="130" t="s">
        <v>319</v>
      </c>
      <c r="E13" s="136"/>
      <c r="F13" s="136"/>
      <c r="G13" s="136"/>
      <c r="H13" s="136"/>
      <c r="I13" s="136"/>
      <c r="J13" s="136"/>
    </row>
    <row r="14" spans="2:10" ht="15.75" x14ac:dyDescent="0.25">
      <c r="B14" s="133" t="s">
        <v>377</v>
      </c>
      <c r="C14" s="132">
        <v>0.1</v>
      </c>
      <c r="D14" s="130" t="s">
        <v>334</v>
      </c>
      <c r="E14" s="136"/>
      <c r="F14" s="136"/>
      <c r="G14" s="136"/>
      <c r="H14" s="136"/>
      <c r="I14" s="136"/>
      <c r="J14" s="136"/>
    </row>
    <row r="15" spans="2:10" ht="15.75" x14ac:dyDescent="0.25">
      <c r="B15" s="133" t="s">
        <v>378</v>
      </c>
      <c r="C15" s="132">
        <v>0.15</v>
      </c>
      <c r="D15" s="130" t="s">
        <v>331</v>
      </c>
      <c r="E15" s="136"/>
      <c r="F15" s="136"/>
      <c r="G15" s="136"/>
      <c r="H15" s="136"/>
      <c r="I15" s="136"/>
      <c r="J15" s="136"/>
    </row>
    <row r="16" spans="2:10" ht="15.75" x14ac:dyDescent="0.25">
      <c r="B16" s="133" t="s">
        <v>379</v>
      </c>
      <c r="C16" s="132">
        <v>0.25</v>
      </c>
      <c r="D16" s="130" t="s">
        <v>323</v>
      </c>
      <c r="E16" s="136"/>
      <c r="F16" s="136"/>
      <c r="G16" s="136"/>
      <c r="H16" s="136"/>
      <c r="I16" s="136"/>
      <c r="J16" s="136"/>
    </row>
    <row r="17" spans="2:10" ht="15.75" x14ac:dyDescent="0.25">
      <c r="B17" s="136"/>
      <c r="C17" s="136"/>
      <c r="D17" s="136"/>
      <c r="E17" s="136"/>
      <c r="F17" s="136"/>
      <c r="G17" s="136"/>
      <c r="H17" s="136"/>
      <c r="I17" s="136"/>
      <c r="J17" s="136"/>
    </row>
  </sheetData>
  <mergeCells count="4">
    <mergeCell ref="B2:D2"/>
    <mergeCell ref="F2:I2"/>
    <mergeCell ref="B10:D10"/>
    <mergeCell ref="F10:J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92FD-CCD8-46C8-AC3F-F73D20BC9077}">
  <dimension ref="B1:AC22"/>
  <sheetViews>
    <sheetView topLeftCell="C1" zoomScale="60" zoomScaleNormal="60" workbookViewId="0">
      <selection activeCell="M29" sqref="M29"/>
    </sheetView>
  </sheetViews>
  <sheetFormatPr defaultRowHeight="15" x14ac:dyDescent="0.25"/>
  <cols>
    <col min="4" max="4" width="14.28515625" customWidth="1"/>
    <col min="5" max="5" width="16.7109375" bestFit="1" customWidth="1"/>
    <col min="6" max="6" width="17.28515625" bestFit="1" customWidth="1"/>
    <col min="7" max="7" width="13.5703125" bestFit="1" customWidth="1"/>
    <col min="8" max="8" width="14" bestFit="1" customWidth="1"/>
    <col min="9" max="9" width="10.7109375" customWidth="1"/>
    <col min="10" max="10" width="21.42578125" customWidth="1"/>
    <col min="11" max="11" width="24.85546875" customWidth="1"/>
    <col min="12" max="12" width="11.85546875" customWidth="1"/>
    <col min="13" max="13" width="25.85546875" customWidth="1"/>
    <col min="14" max="14" width="2.7109375" bestFit="1" customWidth="1"/>
    <col min="15" max="15" width="14.28515625" bestFit="1" customWidth="1"/>
    <col min="16" max="16" width="18.5703125" bestFit="1" customWidth="1"/>
    <col min="17" max="17" width="12.42578125" bestFit="1" customWidth="1"/>
    <col min="18" max="18" width="11.140625" bestFit="1" customWidth="1"/>
    <col min="19" max="19" width="12.28515625" bestFit="1" customWidth="1"/>
  </cols>
  <sheetData>
    <row r="1" spans="2:29" ht="15.75" thickBot="1" x14ac:dyDescent="0.3"/>
    <row r="2" spans="2:29" ht="16.5" thickBot="1" x14ac:dyDescent="0.3">
      <c r="B2" s="165"/>
      <c r="C2" s="165"/>
      <c r="D2" s="165"/>
      <c r="E2" s="165"/>
      <c r="F2" s="166">
        <v>1</v>
      </c>
      <c r="G2" s="165"/>
      <c r="H2" s="166">
        <v>2</v>
      </c>
      <c r="I2" s="165"/>
      <c r="J2" s="166">
        <v>3</v>
      </c>
      <c r="K2" s="166">
        <v>4</v>
      </c>
      <c r="L2" s="166">
        <v>5</v>
      </c>
      <c r="M2" s="166">
        <v>6</v>
      </c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</row>
    <row r="3" spans="2:29" x14ac:dyDescent="0.25">
      <c r="B3" s="210" t="s">
        <v>490</v>
      </c>
      <c r="C3" s="211"/>
      <c r="D3" s="227" t="s">
        <v>491</v>
      </c>
      <c r="E3" s="167" t="s">
        <v>492</v>
      </c>
      <c r="F3" s="167" t="s">
        <v>493</v>
      </c>
      <c r="G3" s="167" t="s">
        <v>494</v>
      </c>
      <c r="H3" s="167" t="s">
        <v>495</v>
      </c>
      <c r="I3" s="226" t="s">
        <v>496</v>
      </c>
      <c r="J3" s="226" t="s">
        <v>497</v>
      </c>
      <c r="K3" s="226" t="s">
        <v>498</v>
      </c>
      <c r="L3" s="226" t="s">
        <v>499</v>
      </c>
      <c r="M3" s="226" t="s">
        <v>500</v>
      </c>
      <c r="N3" s="168"/>
      <c r="O3" s="165"/>
      <c r="P3" s="169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</row>
    <row r="4" spans="2:29" x14ac:dyDescent="0.25">
      <c r="B4" s="224" t="s">
        <v>2</v>
      </c>
      <c r="C4" s="225"/>
      <c r="D4" s="228" t="s">
        <v>501</v>
      </c>
      <c r="E4" s="170" t="s">
        <v>502</v>
      </c>
      <c r="F4" s="171" t="s">
        <v>503</v>
      </c>
      <c r="G4" s="170" t="s">
        <v>504</v>
      </c>
      <c r="H4" s="171" t="s">
        <v>505</v>
      </c>
      <c r="I4" s="172">
        <v>350</v>
      </c>
      <c r="J4" s="173">
        <v>425000</v>
      </c>
      <c r="K4" s="173">
        <v>148750000</v>
      </c>
      <c r="L4" s="174">
        <v>0.1</v>
      </c>
      <c r="M4" s="173">
        <v>133875000</v>
      </c>
      <c r="N4" s="168"/>
      <c r="O4" s="175" t="s">
        <v>506</v>
      </c>
      <c r="P4" s="169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</row>
    <row r="5" spans="2:29" x14ac:dyDescent="0.25">
      <c r="B5" s="176"/>
      <c r="C5" s="176"/>
      <c r="D5" s="229"/>
      <c r="E5" s="176"/>
      <c r="F5" s="176"/>
      <c r="G5" s="176"/>
      <c r="H5" s="176"/>
      <c r="I5" s="176"/>
      <c r="J5" s="176"/>
      <c r="K5" s="176"/>
      <c r="L5" s="176"/>
      <c r="M5" s="176"/>
      <c r="N5" s="168"/>
      <c r="O5" s="165"/>
      <c r="P5" s="169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</row>
    <row r="6" spans="2:29" x14ac:dyDescent="0.25">
      <c r="B6" s="205">
        <v>1</v>
      </c>
      <c r="C6" s="206"/>
      <c r="D6" s="230" t="s">
        <v>501</v>
      </c>
      <c r="E6" s="177" t="s">
        <v>507</v>
      </c>
      <c r="F6" s="178" t="str">
        <f>VLOOKUP(E6,$O$7:$P$9,2,0)</f>
        <v>Toko Ahmad Budiman</v>
      </c>
      <c r="G6" s="177" t="s">
        <v>508</v>
      </c>
      <c r="H6" s="178" t="str">
        <f>HLOOKUP(G6,$P$12:$S$13,2,0)</f>
        <v>Besi 5 Meter</v>
      </c>
      <c r="I6" s="179">
        <v>240</v>
      </c>
      <c r="J6" s="180">
        <f>HLOOKUP(G6,$P$12:$S$14,3,0)</f>
        <v>250000</v>
      </c>
      <c r="K6" s="180">
        <f>I6*J6</f>
        <v>60000000</v>
      </c>
      <c r="L6" s="181">
        <f>IF(K6&gt;=100000000,10%,IF(K6&gt;=50000000,5%,0))</f>
        <v>0.05</v>
      </c>
      <c r="M6" s="180">
        <f>K6-(K6*L6)</f>
        <v>57000000</v>
      </c>
      <c r="N6" s="165"/>
      <c r="O6" s="182" t="s">
        <v>127</v>
      </c>
      <c r="P6" s="182" t="s">
        <v>493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</row>
    <row r="7" spans="2:29" x14ac:dyDescent="0.25">
      <c r="B7" s="205">
        <v>2</v>
      </c>
      <c r="C7" s="206"/>
      <c r="D7" s="230" t="s">
        <v>501</v>
      </c>
      <c r="E7" s="177" t="s">
        <v>502</v>
      </c>
      <c r="F7" s="178" t="str">
        <f t="shared" ref="F7:F20" si="0">VLOOKUP(E7,$O$7:$P$9,2,0)</f>
        <v>Toko Beni Kusuma</v>
      </c>
      <c r="G7" s="177" t="s">
        <v>504</v>
      </c>
      <c r="H7" s="178" t="str">
        <f t="shared" ref="H7:H20" si="1">HLOOKUP(G7,$P$12:$S$13,2,0)</f>
        <v>Besi 10 Meter</v>
      </c>
      <c r="I7" s="179">
        <v>350</v>
      </c>
      <c r="J7" s="180">
        <f t="shared" ref="J7:J20" si="2">HLOOKUP(G7,$P$12:$S$14,3,0)</f>
        <v>425000</v>
      </c>
      <c r="K7" s="180">
        <f t="shared" ref="K7:K20" si="3">I7*J7</f>
        <v>148750000</v>
      </c>
      <c r="L7" s="181">
        <f t="shared" ref="L7:L20" si="4">IF(K7&gt;=100000000,10%,IF(K7&gt;=50000000,5%,0))</f>
        <v>0.1</v>
      </c>
      <c r="M7" s="180">
        <f t="shared" ref="M7:M20" si="5">K7-(K7*L7)</f>
        <v>133875000</v>
      </c>
      <c r="N7" s="165"/>
      <c r="O7" s="183" t="s">
        <v>507</v>
      </c>
      <c r="P7" s="183" t="s">
        <v>509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</row>
    <row r="8" spans="2:29" x14ac:dyDescent="0.25">
      <c r="B8" s="205">
        <v>3</v>
      </c>
      <c r="C8" s="206"/>
      <c r="D8" s="230" t="s">
        <v>501</v>
      </c>
      <c r="E8" s="177" t="s">
        <v>510</v>
      </c>
      <c r="F8" s="178" t="str">
        <f t="shared" si="0"/>
        <v>Toko Chris John</v>
      </c>
      <c r="G8" s="177" t="s">
        <v>511</v>
      </c>
      <c r="H8" s="178" t="str">
        <f t="shared" si="1"/>
        <v>Pipa 5 Meter</v>
      </c>
      <c r="I8" s="179">
        <v>130</v>
      </c>
      <c r="J8" s="180">
        <f t="shared" si="2"/>
        <v>78000</v>
      </c>
      <c r="K8" s="180">
        <f t="shared" si="3"/>
        <v>10140000</v>
      </c>
      <c r="L8" s="181">
        <f t="shared" si="4"/>
        <v>0</v>
      </c>
      <c r="M8" s="180">
        <f t="shared" si="5"/>
        <v>10140000</v>
      </c>
      <c r="N8" s="165"/>
      <c r="O8" s="183" t="s">
        <v>502</v>
      </c>
      <c r="P8" s="183" t="s">
        <v>503</v>
      </c>
      <c r="Q8" s="165"/>
      <c r="R8" s="165"/>
      <c r="S8" s="165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2:29" x14ac:dyDescent="0.25">
      <c r="B9" s="205">
        <v>4</v>
      </c>
      <c r="C9" s="206"/>
      <c r="D9" s="230" t="s">
        <v>512</v>
      </c>
      <c r="E9" s="177" t="s">
        <v>510</v>
      </c>
      <c r="F9" s="178" t="str">
        <f t="shared" si="0"/>
        <v>Toko Chris John</v>
      </c>
      <c r="G9" s="177" t="s">
        <v>513</v>
      </c>
      <c r="H9" s="178" t="str">
        <f t="shared" si="1"/>
        <v>Pipa 10 Meter</v>
      </c>
      <c r="I9" s="179">
        <v>560</v>
      </c>
      <c r="J9" s="180">
        <f t="shared" si="2"/>
        <v>140000</v>
      </c>
      <c r="K9" s="180">
        <f t="shared" si="3"/>
        <v>78400000</v>
      </c>
      <c r="L9" s="181">
        <f t="shared" si="4"/>
        <v>0.05</v>
      </c>
      <c r="M9" s="180">
        <f t="shared" si="5"/>
        <v>74480000</v>
      </c>
      <c r="N9" s="165"/>
      <c r="O9" s="183" t="s">
        <v>510</v>
      </c>
      <c r="P9" s="183" t="s">
        <v>514</v>
      </c>
      <c r="Q9" s="165"/>
      <c r="R9" s="165"/>
      <c r="S9" s="165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2:29" x14ac:dyDescent="0.25">
      <c r="B10" s="205">
        <v>5</v>
      </c>
      <c r="C10" s="206"/>
      <c r="D10" s="230" t="s">
        <v>512</v>
      </c>
      <c r="E10" s="177" t="s">
        <v>502</v>
      </c>
      <c r="F10" s="178" t="str">
        <f t="shared" si="0"/>
        <v>Toko Beni Kusuma</v>
      </c>
      <c r="G10" s="177" t="s">
        <v>508</v>
      </c>
      <c r="H10" s="178" t="str">
        <f t="shared" si="1"/>
        <v>Besi 5 Meter</v>
      </c>
      <c r="I10" s="179">
        <v>780</v>
      </c>
      <c r="J10" s="180">
        <f t="shared" si="2"/>
        <v>250000</v>
      </c>
      <c r="K10" s="180">
        <f t="shared" si="3"/>
        <v>195000000</v>
      </c>
      <c r="L10" s="181">
        <f t="shared" si="4"/>
        <v>0.1</v>
      </c>
      <c r="M10" s="180">
        <f t="shared" si="5"/>
        <v>175500000</v>
      </c>
      <c r="N10" s="165"/>
      <c r="O10" s="184"/>
      <c r="P10" s="184"/>
      <c r="Q10" s="165"/>
      <c r="R10" s="165"/>
      <c r="S10" s="165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2:29" x14ac:dyDescent="0.25">
      <c r="B11" s="205">
        <v>6</v>
      </c>
      <c r="C11" s="206"/>
      <c r="D11" s="230" t="s">
        <v>512</v>
      </c>
      <c r="E11" s="177" t="s">
        <v>507</v>
      </c>
      <c r="F11" s="178" t="str">
        <f t="shared" si="0"/>
        <v>Toko Ahmad Budiman</v>
      </c>
      <c r="G11" s="177" t="s">
        <v>504</v>
      </c>
      <c r="H11" s="178" t="str">
        <f t="shared" si="1"/>
        <v>Besi 10 Meter</v>
      </c>
      <c r="I11" s="179">
        <v>890</v>
      </c>
      <c r="J11" s="180">
        <f t="shared" si="2"/>
        <v>425000</v>
      </c>
      <c r="K11" s="180">
        <f t="shared" si="3"/>
        <v>378250000</v>
      </c>
      <c r="L11" s="181">
        <f t="shared" si="4"/>
        <v>0.1</v>
      </c>
      <c r="M11" s="180">
        <f t="shared" si="5"/>
        <v>340425000</v>
      </c>
      <c r="N11" s="165"/>
      <c r="O11" s="185" t="s">
        <v>515</v>
      </c>
      <c r="P11" s="186"/>
      <c r="Q11" s="186"/>
      <c r="R11" s="186"/>
      <c r="S11" s="186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2:29" x14ac:dyDescent="0.25">
      <c r="B12" s="205">
        <v>7</v>
      </c>
      <c r="C12" s="206"/>
      <c r="D12" s="230" t="s">
        <v>512</v>
      </c>
      <c r="E12" s="177" t="s">
        <v>502</v>
      </c>
      <c r="F12" s="178" t="str">
        <f t="shared" si="0"/>
        <v>Toko Beni Kusuma</v>
      </c>
      <c r="G12" s="177" t="s">
        <v>511</v>
      </c>
      <c r="H12" s="178" t="str">
        <f t="shared" si="1"/>
        <v>Pipa 5 Meter</v>
      </c>
      <c r="I12" s="179">
        <v>420</v>
      </c>
      <c r="J12" s="180">
        <f t="shared" si="2"/>
        <v>78000</v>
      </c>
      <c r="K12" s="180">
        <f t="shared" si="3"/>
        <v>32760000</v>
      </c>
      <c r="L12" s="181">
        <f t="shared" si="4"/>
        <v>0</v>
      </c>
      <c r="M12" s="180">
        <f t="shared" si="5"/>
        <v>32760000</v>
      </c>
      <c r="N12" s="165"/>
      <c r="O12" s="187" t="s">
        <v>127</v>
      </c>
      <c r="P12" s="188" t="s">
        <v>508</v>
      </c>
      <c r="Q12" s="188" t="s">
        <v>504</v>
      </c>
      <c r="R12" s="188" t="s">
        <v>511</v>
      </c>
      <c r="S12" s="188" t="s">
        <v>513</v>
      </c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2:29" x14ac:dyDescent="0.25">
      <c r="B13" s="205">
        <v>8</v>
      </c>
      <c r="C13" s="206"/>
      <c r="D13" s="230" t="s">
        <v>512</v>
      </c>
      <c r="E13" s="177" t="s">
        <v>507</v>
      </c>
      <c r="F13" s="178" t="str">
        <f t="shared" si="0"/>
        <v>Toko Ahmad Budiman</v>
      </c>
      <c r="G13" s="177" t="s">
        <v>513</v>
      </c>
      <c r="H13" s="178" t="str">
        <f t="shared" si="1"/>
        <v>Pipa 10 Meter</v>
      </c>
      <c r="I13" s="179">
        <v>110</v>
      </c>
      <c r="J13" s="180">
        <f t="shared" si="2"/>
        <v>140000</v>
      </c>
      <c r="K13" s="180">
        <f t="shared" si="3"/>
        <v>15400000</v>
      </c>
      <c r="L13" s="181">
        <f t="shared" si="4"/>
        <v>0</v>
      </c>
      <c r="M13" s="180">
        <f t="shared" si="5"/>
        <v>15400000</v>
      </c>
      <c r="N13" s="165"/>
      <c r="O13" s="187" t="s">
        <v>90</v>
      </c>
      <c r="P13" s="189" t="s">
        <v>516</v>
      </c>
      <c r="Q13" s="189" t="s">
        <v>505</v>
      </c>
      <c r="R13" s="189" t="s">
        <v>517</v>
      </c>
      <c r="S13" s="189" t="s">
        <v>518</v>
      </c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2:29" x14ac:dyDescent="0.25">
      <c r="B14" s="205">
        <v>9</v>
      </c>
      <c r="C14" s="206"/>
      <c r="D14" s="230" t="s">
        <v>512</v>
      </c>
      <c r="E14" s="177" t="s">
        <v>510</v>
      </c>
      <c r="F14" s="178" t="str">
        <f t="shared" si="0"/>
        <v>Toko Chris John</v>
      </c>
      <c r="G14" s="177" t="s">
        <v>508</v>
      </c>
      <c r="H14" s="178" t="str">
        <f t="shared" si="1"/>
        <v>Besi 5 Meter</v>
      </c>
      <c r="I14" s="179">
        <v>720</v>
      </c>
      <c r="J14" s="180">
        <f t="shared" si="2"/>
        <v>250000</v>
      </c>
      <c r="K14" s="180">
        <f t="shared" si="3"/>
        <v>180000000</v>
      </c>
      <c r="L14" s="181">
        <f t="shared" si="4"/>
        <v>0.1</v>
      </c>
      <c r="M14" s="180">
        <f t="shared" si="5"/>
        <v>162000000</v>
      </c>
      <c r="N14" s="165"/>
      <c r="O14" s="187" t="s">
        <v>497</v>
      </c>
      <c r="P14" s="189">
        <v>250000</v>
      </c>
      <c r="Q14" s="189">
        <v>425000</v>
      </c>
      <c r="R14" s="189">
        <v>78000</v>
      </c>
      <c r="S14" s="189">
        <v>140000</v>
      </c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2:29" x14ac:dyDescent="0.25">
      <c r="B15" s="205">
        <v>10</v>
      </c>
      <c r="C15" s="206"/>
      <c r="D15" s="230" t="s">
        <v>512</v>
      </c>
      <c r="E15" s="177" t="s">
        <v>502</v>
      </c>
      <c r="F15" s="178" t="str">
        <f t="shared" si="0"/>
        <v>Toko Beni Kusuma</v>
      </c>
      <c r="G15" s="177" t="s">
        <v>504</v>
      </c>
      <c r="H15" s="178" t="str">
        <f t="shared" si="1"/>
        <v>Besi 10 Meter</v>
      </c>
      <c r="I15" s="179">
        <v>120</v>
      </c>
      <c r="J15" s="180">
        <f t="shared" si="2"/>
        <v>425000</v>
      </c>
      <c r="K15" s="180">
        <f t="shared" si="3"/>
        <v>51000000</v>
      </c>
      <c r="L15" s="181">
        <f t="shared" si="4"/>
        <v>0.05</v>
      </c>
      <c r="M15" s="180">
        <f t="shared" si="5"/>
        <v>48450000</v>
      </c>
      <c r="N15" s="165"/>
      <c r="O15" s="190"/>
      <c r="P15" s="190"/>
      <c r="Q15" s="190"/>
      <c r="R15" s="165"/>
      <c r="S15" s="165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2:29" x14ac:dyDescent="0.25">
      <c r="B16" s="205">
        <v>11</v>
      </c>
      <c r="C16" s="206"/>
      <c r="D16" s="230" t="s">
        <v>512</v>
      </c>
      <c r="E16" s="177" t="s">
        <v>507</v>
      </c>
      <c r="F16" s="178" t="str">
        <f t="shared" si="0"/>
        <v>Toko Ahmad Budiman</v>
      </c>
      <c r="G16" s="177" t="s">
        <v>511</v>
      </c>
      <c r="H16" s="178" t="str">
        <f t="shared" si="1"/>
        <v>Pipa 5 Meter</v>
      </c>
      <c r="I16" s="179">
        <v>120</v>
      </c>
      <c r="J16" s="180">
        <f t="shared" si="2"/>
        <v>78000</v>
      </c>
      <c r="K16" s="180">
        <f t="shared" si="3"/>
        <v>9360000</v>
      </c>
      <c r="L16" s="181">
        <f t="shared" si="4"/>
        <v>0</v>
      </c>
      <c r="M16" s="180">
        <f t="shared" si="5"/>
        <v>9360000</v>
      </c>
      <c r="N16" s="165"/>
      <c r="O16" s="165"/>
      <c r="P16" s="165"/>
      <c r="Q16" s="165"/>
      <c r="R16" s="165"/>
      <c r="S16" s="165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2:29" x14ac:dyDescent="0.25">
      <c r="B17" s="205">
        <v>12</v>
      </c>
      <c r="C17" s="206"/>
      <c r="D17" s="230" t="s">
        <v>512</v>
      </c>
      <c r="E17" s="177" t="s">
        <v>507</v>
      </c>
      <c r="F17" s="178" t="str">
        <f t="shared" si="0"/>
        <v>Toko Ahmad Budiman</v>
      </c>
      <c r="G17" s="177" t="s">
        <v>513</v>
      </c>
      <c r="H17" s="178" t="str">
        <f t="shared" si="1"/>
        <v>Pipa 10 Meter</v>
      </c>
      <c r="I17" s="179">
        <v>550</v>
      </c>
      <c r="J17" s="180">
        <f t="shared" si="2"/>
        <v>140000</v>
      </c>
      <c r="K17" s="180">
        <f t="shared" si="3"/>
        <v>77000000</v>
      </c>
      <c r="L17" s="181">
        <f t="shared" si="4"/>
        <v>0.05</v>
      </c>
      <c r="M17" s="180">
        <f t="shared" si="5"/>
        <v>73150000</v>
      </c>
      <c r="N17" s="165"/>
      <c r="O17" s="165"/>
      <c r="P17" s="165"/>
      <c r="Q17" s="165"/>
      <c r="R17" s="165"/>
      <c r="S17" s="165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2:29" x14ac:dyDescent="0.25">
      <c r="B18" s="205">
        <v>13</v>
      </c>
      <c r="C18" s="206"/>
      <c r="D18" s="230" t="s">
        <v>512</v>
      </c>
      <c r="E18" s="177" t="s">
        <v>502</v>
      </c>
      <c r="F18" s="178" t="str">
        <f t="shared" si="0"/>
        <v>Toko Beni Kusuma</v>
      </c>
      <c r="G18" s="177" t="s">
        <v>511</v>
      </c>
      <c r="H18" s="178" t="str">
        <f t="shared" si="1"/>
        <v>Pipa 5 Meter</v>
      </c>
      <c r="I18" s="179">
        <v>580</v>
      </c>
      <c r="J18" s="180">
        <f t="shared" si="2"/>
        <v>78000</v>
      </c>
      <c r="K18" s="180">
        <f t="shared" si="3"/>
        <v>45240000</v>
      </c>
      <c r="L18" s="181">
        <f t="shared" si="4"/>
        <v>0</v>
      </c>
      <c r="M18" s="180">
        <f t="shared" si="5"/>
        <v>45240000</v>
      </c>
      <c r="N18" s="165"/>
      <c r="O18" s="165"/>
      <c r="P18" s="165"/>
      <c r="Q18" s="165"/>
      <c r="R18" s="165"/>
      <c r="S18" s="165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2:29" x14ac:dyDescent="0.25">
      <c r="B19" s="205">
        <v>14</v>
      </c>
      <c r="C19" s="206"/>
      <c r="D19" s="230" t="s">
        <v>519</v>
      </c>
      <c r="E19" s="177" t="s">
        <v>507</v>
      </c>
      <c r="F19" s="178" t="str">
        <f t="shared" si="0"/>
        <v>Toko Ahmad Budiman</v>
      </c>
      <c r="G19" s="177" t="s">
        <v>513</v>
      </c>
      <c r="H19" s="178" t="str">
        <f t="shared" si="1"/>
        <v>Pipa 10 Meter</v>
      </c>
      <c r="I19" s="179">
        <v>620</v>
      </c>
      <c r="J19" s="180">
        <f t="shared" si="2"/>
        <v>140000</v>
      </c>
      <c r="K19" s="180">
        <f t="shared" si="3"/>
        <v>86800000</v>
      </c>
      <c r="L19" s="181">
        <f t="shared" si="4"/>
        <v>0.05</v>
      </c>
      <c r="M19" s="180">
        <f t="shared" si="5"/>
        <v>82460000</v>
      </c>
      <c r="N19" s="165"/>
      <c r="O19" s="165"/>
      <c r="P19" s="165"/>
      <c r="Q19" s="165"/>
      <c r="R19" s="165"/>
      <c r="S19" s="165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2:29" ht="15.75" thickBot="1" x14ac:dyDescent="0.3">
      <c r="B20" s="205">
        <v>15</v>
      </c>
      <c r="C20" s="206"/>
      <c r="D20" s="228" t="s">
        <v>519</v>
      </c>
      <c r="E20" s="177" t="s">
        <v>510</v>
      </c>
      <c r="F20" s="178" t="str">
        <f t="shared" si="0"/>
        <v>Toko Chris John</v>
      </c>
      <c r="G20" s="177" t="s">
        <v>513</v>
      </c>
      <c r="H20" s="178" t="str">
        <f t="shared" si="1"/>
        <v>Pipa 10 Meter</v>
      </c>
      <c r="I20" s="172">
        <v>900</v>
      </c>
      <c r="J20" s="173">
        <f t="shared" si="2"/>
        <v>140000</v>
      </c>
      <c r="K20" s="173">
        <f t="shared" si="3"/>
        <v>126000000</v>
      </c>
      <c r="L20" s="174">
        <f t="shared" si="4"/>
        <v>0.1</v>
      </c>
      <c r="M20" s="173">
        <f t="shared" si="5"/>
        <v>113400000</v>
      </c>
      <c r="N20" s="165"/>
      <c r="O20" s="165"/>
      <c r="P20" s="191"/>
      <c r="Q20" s="165"/>
      <c r="R20" s="165"/>
      <c r="S20" s="165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2:29" ht="16.5" thickBot="1" x14ac:dyDescent="0.3">
      <c r="B21" s="212" t="s">
        <v>520</v>
      </c>
      <c r="C21" s="212"/>
      <c r="D21" s="212"/>
      <c r="E21" s="212"/>
      <c r="F21" s="212"/>
      <c r="G21" s="212"/>
      <c r="H21" s="213"/>
      <c r="I21" s="192">
        <f>SUM(I6:I20)</f>
        <v>7090</v>
      </c>
      <c r="J21" s="207" t="s">
        <v>521</v>
      </c>
      <c r="K21" s="208"/>
      <c r="L21" s="209"/>
      <c r="M21" s="193">
        <f>SUM(M6:M20)</f>
        <v>1373640000</v>
      </c>
      <c r="N21" s="166">
        <v>7</v>
      </c>
      <c r="O21" s="165"/>
      <c r="P21" s="165"/>
      <c r="Q21" s="165"/>
      <c r="R21" s="165"/>
      <c r="S21" s="165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2:29" ht="16.5" thickBot="1" x14ac:dyDescent="0.3">
      <c r="B22" s="214" t="s">
        <v>522</v>
      </c>
      <c r="C22" s="214"/>
      <c r="D22" s="214"/>
      <c r="E22" s="214"/>
      <c r="F22" s="214"/>
      <c r="G22" s="214"/>
      <c r="H22" s="215"/>
      <c r="I22" s="192">
        <f>AVERAGE(I6:I20)</f>
        <v>472.66666666666669</v>
      </c>
      <c r="J22" s="207" t="s">
        <v>523</v>
      </c>
      <c r="K22" s="208"/>
      <c r="L22" s="209"/>
      <c r="M22" s="193">
        <f>AVERAGE(M6:M20)</f>
        <v>91576000</v>
      </c>
      <c r="N22" s="166">
        <v>8</v>
      </c>
      <c r="O22" s="165"/>
      <c r="P22" s="165"/>
      <c r="Q22" s="165"/>
      <c r="R22" s="165"/>
      <c r="S22" s="165"/>
      <c r="T22" s="1"/>
      <c r="U22" s="1"/>
      <c r="V22" s="1"/>
      <c r="W22" s="1"/>
      <c r="X22" s="1"/>
      <c r="Y22" s="1"/>
      <c r="Z22" s="1"/>
      <c r="AA22" s="1"/>
      <c r="AB22" s="1"/>
      <c r="AC22" s="1"/>
    </row>
  </sheetData>
  <mergeCells count="21">
    <mergeCell ref="B4:C4"/>
    <mergeCell ref="B3:C3"/>
    <mergeCell ref="J21:L21"/>
    <mergeCell ref="J22:L22"/>
    <mergeCell ref="B6:C6"/>
    <mergeCell ref="B7:C7"/>
    <mergeCell ref="B8:C8"/>
    <mergeCell ref="B9:C9"/>
    <mergeCell ref="B10:C10"/>
    <mergeCell ref="B11:C11"/>
    <mergeCell ref="B12:C12"/>
    <mergeCell ref="B13:C13"/>
    <mergeCell ref="B19:C19"/>
    <mergeCell ref="B20:C20"/>
    <mergeCell ref="B21:H21"/>
    <mergeCell ref="B22:H22"/>
    <mergeCell ref="B14:C14"/>
    <mergeCell ref="B15:C15"/>
    <mergeCell ref="B16:C16"/>
    <mergeCell ref="B17:C17"/>
    <mergeCell ref="B18:C18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BB78-A80C-408B-8F67-C1EA38DBAC95}">
  <dimension ref="B2:N23"/>
  <sheetViews>
    <sheetView topLeftCell="G1" zoomScale="70" zoomScaleNormal="70" workbookViewId="0">
      <selection activeCell="J7" sqref="J7"/>
    </sheetView>
  </sheetViews>
  <sheetFormatPr defaultRowHeight="15" x14ac:dyDescent="0.25"/>
  <cols>
    <col min="2" max="2" width="7.85546875" bestFit="1" customWidth="1"/>
    <col min="3" max="3" width="24.140625" style="234" bestFit="1" customWidth="1"/>
    <col min="4" max="4" width="20.140625" bestFit="1" customWidth="1"/>
    <col min="5" max="5" width="18.7109375" bestFit="1" customWidth="1"/>
    <col min="6" max="6" width="13" bestFit="1" customWidth="1"/>
    <col min="7" max="7" width="12.7109375" bestFit="1" customWidth="1"/>
    <col min="8" max="8" width="14.85546875" bestFit="1" customWidth="1"/>
    <col min="9" max="9" width="16.7109375" bestFit="1" customWidth="1"/>
    <col min="10" max="10" width="23.28515625" bestFit="1" customWidth="1"/>
    <col min="11" max="11" width="15.85546875" bestFit="1" customWidth="1"/>
    <col min="12" max="12" width="18.28515625" bestFit="1" customWidth="1"/>
    <col min="13" max="13" width="13" bestFit="1" customWidth="1"/>
    <col min="14" max="14" width="18" bestFit="1" customWidth="1"/>
  </cols>
  <sheetData>
    <row r="2" spans="2:14" x14ac:dyDescent="0.25">
      <c r="B2" s="3" t="s">
        <v>0</v>
      </c>
      <c r="C2" s="231" t="s">
        <v>380</v>
      </c>
      <c r="D2" s="3" t="s">
        <v>381</v>
      </c>
      <c r="E2" s="3" t="s">
        <v>382</v>
      </c>
      <c r="F2" s="3" t="s">
        <v>383</v>
      </c>
      <c r="G2" s="3" t="s">
        <v>384</v>
      </c>
      <c r="H2" s="3" t="s">
        <v>385</v>
      </c>
      <c r="I2" s="3" t="s">
        <v>386</v>
      </c>
      <c r="J2" s="3" t="s">
        <v>387</v>
      </c>
      <c r="K2" s="3" t="s">
        <v>388</v>
      </c>
      <c r="L2" s="3" t="s">
        <v>389</v>
      </c>
      <c r="M2" s="3" t="s">
        <v>390</v>
      </c>
      <c r="N2" s="3" t="s">
        <v>391</v>
      </c>
    </row>
    <row r="3" spans="2:14" x14ac:dyDescent="0.25">
      <c r="B3" s="12" t="s">
        <v>2</v>
      </c>
      <c r="C3" s="232" t="s">
        <v>392</v>
      </c>
      <c r="D3" s="141" t="s">
        <v>393</v>
      </c>
      <c r="E3" s="33" t="s">
        <v>394</v>
      </c>
      <c r="F3" s="33" t="s">
        <v>395</v>
      </c>
      <c r="G3" s="33" t="s">
        <v>396</v>
      </c>
      <c r="H3" s="33" t="s">
        <v>397</v>
      </c>
      <c r="I3" s="142">
        <v>45621</v>
      </c>
      <c r="J3" s="143" t="s">
        <v>398</v>
      </c>
      <c r="K3" s="143" t="s">
        <v>399</v>
      </c>
      <c r="L3" s="144">
        <v>13</v>
      </c>
      <c r="M3" s="49" t="s">
        <v>400</v>
      </c>
      <c r="N3" s="144" t="s">
        <v>401</v>
      </c>
    </row>
    <row r="4" spans="2:14" x14ac:dyDescent="0.25">
      <c r="B4" s="145"/>
      <c r="C4" s="233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</row>
    <row r="5" spans="2:14" x14ac:dyDescent="0.25">
      <c r="B5" s="12">
        <v>1</v>
      </c>
      <c r="C5" s="232" t="s">
        <v>402</v>
      </c>
      <c r="D5" s="141" t="s">
        <v>537</v>
      </c>
      <c r="E5" s="33" t="str">
        <f>IF(LEFT(TRIM(C5),1)="S","Segera",IF(LEFT(TRIM(C5),1)="R","Rahasia","Biasa"))</f>
        <v>Biasa</v>
      </c>
      <c r="F5" s="33" t="str">
        <f>MID(TRIM(C5),7,4)</f>
        <v>2023</v>
      </c>
      <c r="G5" s="33" t="str">
        <f>MID(TRIM(C5),12,2)</f>
        <v>08</v>
      </c>
      <c r="H5" s="33" t="str">
        <f>RIGHT(TRIM(C5),2)</f>
        <v>19</v>
      </c>
      <c r="I5" s="142">
        <f>DATE(F5,G5,H5)</f>
        <v>45157</v>
      </c>
      <c r="J5" s="143" t="str">
        <f>LEFT(TRIM(C5),5)&amp;"FL"&amp;MID(TRIM(C5),6,LEN(TRIM(C5))-5)</f>
        <v>B-001FL/2023/08/19</v>
      </c>
      <c r="K5" s="143" t="str">
        <f>PROPER(TRIM(D5))</f>
        <v>Andi Saputra</v>
      </c>
      <c r="L5" s="144">
        <f>LEN(K5)</f>
        <v>12</v>
      </c>
      <c r="M5" s="49" t="str">
        <f>LEFT(K5,1)&amp;MID(K5,FIND(" ",K5)+1,1)</f>
        <v>AS</v>
      </c>
      <c r="N5" s="144" t="str">
        <f>M5&amp;"-"&amp;UPPER(TEXT(I5,"DDMMMYYYY"))</f>
        <v>AS-19AUG2023</v>
      </c>
    </row>
    <row r="6" spans="2:14" x14ac:dyDescent="0.25">
      <c r="B6" s="12">
        <v>2</v>
      </c>
      <c r="C6" s="232" t="s">
        <v>532</v>
      </c>
      <c r="D6" s="141" t="s">
        <v>403</v>
      </c>
      <c r="E6" s="33" t="str">
        <f t="shared" ref="E6:E18" si="0">IF(LEFT(TRIM(C6),1)="S","Segera",IF(LEFT(TRIM(C6),1)="R","Rahasia","Biasa"))</f>
        <v>Rahasia</v>
      </c>
      <c r="F6" s="33" t="str">
        <f t="shared" ref="F6:F18" si="1">MID(TRIM(C6),7,4)</f>
        <v>2023</v>
      </c>
      <c r="G6" s="33" t="str">
        <f t="shared" ref="G6:G18" si="2">MID(TRIM(C6),12,2)</f>
        <v>04</v>
      </c>
      <c r="H6" s="33" t="str">
        <f t="shared" ref="H6:H18" si="3">RIGHT(TRIM(C6),2)</f>
        <v>20</v>
      </c>
      <c r="I6" s="142">
        <f t="shared" ref="I6:I18" si="4">DATE(F6,G6,H6)</f>
        <v>45036</v>
      </c>
      <c r="J6" s="143" t="str">
        <f t="shared" ref="J6:J18" si="5">LEFT(TRIM(C6),5)&amp;"FL"&amp;MID(TRIM(C6),6,LEN(TRIM(C6))-5)</f>
        <v>R-002FL/2023/04/20</v>
      </c>
      <c r="K6" s="143" t="str">
        <f t="shared" ref="K6:K18" si="6">PROPER(TRIM(D6))</f>
        <v>Budi Santoso</v>
      </c>
      <c r="L6" s="144">
        <f t="shared" ref="L6:L18" si="7">LEN(K6)</f>
        <v>12</v>
      </c>
      <c r="M6" s="49" t="str">
        <f t="shared" ref="M6:M18" si="8">LEFT(K6,1)&amp;MID(K6,FIND(" ",K6)+1,1)</f>
        <v>BS</v>
      </c>
      <c r="N6" s="144" t="str">
        <f t="shared" ref="N6:N18" si="9">M6&amp;"-"&amp;UPPER(TEXT(I6,"DDMMMYYYY"))</f>
        <v>BS-20APR2023</v>
      </c>
    </row>
    <row r="7" spans="2:14" x14ac:dyDescent="0.25">
      <c r="B7" s="12">
        <v>3</v>
      </c>
      <c r="C7" s="232" t="s">
        <v>533</v>
      </c>
      <c r="D7" s="141" t="s">
        <v>538</v>
      </c>
      <c r="E7" s="33" t="str">
        <f t="shared" si="0"/>
        <v>Biasa</v>
      </c>
      <c r="F7" s="33" t="str">
        <f t="shared" si="1"/>
        <v>2024</v>
      </c>
      <c r="G7" s="33" t="str">
        <f t="shared" si="2"/>
        <v>08</v>
      </c>
      <c r="H7" s="33" t="str">
        <f t="shared" si="3"/>
        <v>21</v>
      </c>
      <c r="I7" s="142">
        <f t="shared" si="4"/>
        <v>45525</v>
      </c>
      <c r="J7" s="143" t="str">
        <f t="shared" si="5"/>
        <v>B-003FL/2024/08/21</v>
      </c>
      <c r="K7" s="143" t="str">
        <f t="shared" si="6"/>
        <v>Citra Dewi</v>
      </c>
      <c r="L7" s="144">
        <f t="shared" si="7"/>
        <v>10</v>
      </c>
      <c r="M7" s="49" t="str">
        <f t="shared" si="8"/>
        <v>CD</v>
      </c>
      <c r="N7" s="144" t="str">
        <f t="shared" si="9"/>
        <v>CD-21AUG2024</v>
      </c>
    </row>
    <row r="8" spans="2:14" x14ac:dyDescent="0.25">
      <c r="B8" s="12">
        <v>4</v>
      </c>
      <c r="C8" s="232" t="s">
        <v>404</v>
      </c>
      <c r="D8" s="141" t="s">
        <v>17</v>
      </c>
      <c r="E8" s="33" t="str">
        <f t="shared" si="0"/>
        <v>Biasa</v>
      </c>
      <c r="F8" s="33" t="str">
        <f t="shared" si="1"/>
        <v>2024</v>
      </c>
      <c r="G8" s="33" t="str">
        <f t="shared" si="2"/>
        <v>08</v>
      </c>
      <c r="H8" s="33" t="str">
        <f t="shared" si="3"/>
        <v>22</v>
      </c>
      <c r="I8" s="142">
        <f t="shared" si="4"/>
        <v>45526</v>
      </c>
      <c r="J8" s="143" t="str">
        <f t="shared" si="5"/>
        <v>B-004FL/2024/08/22</v>
      </c>
      <c r="K8" s="143" t="str">
        <f t="shared" si="6"/>
        <v>Dian Prasetyo</v>
      </c>
      <c r="L8" s="144">
        <f t="shared" si="7"/>
        <v>13</v>
      </c>
      <c r="M8" s="49" t="str">
        <f t="shared" si="8"/>
        <v>DP</v>
      </c>
      <c r="N8" s="144" t="str">
        <f t="shared" si="9"/>
        <v>DP-22AUG2024</v>
      </c>
    </row>
    <row r="9" spans="2:14" x14ac:dyDescent="0.25">
      <c r="B9" s="12">
        <v>5</v>
      </c>
      <c r="C9" s="232" t="s">
        <v>405</v>
      </c>
      <c r="D9" s="141" t="s">
        <v>539</v>
      </c>
      <c r="E9" s="33" t="str">
        <f t="shared" si="0"/>
        <v>Segera</v>
      </c>
      <c r="F9" s="33" t="str">
        <f t="shared" si="1"/>
        <v>2024</v>
      </c>
      <c r="G9" s="33" t="str">
        <f t="shared" si="2"/>
        <v>07</v>
      </c>
      <c r="H9" s="33" t="str">
        <f t="shared" si="3"/>
        <v>23</v>
      </c>
      <c r="I9" s="142">
        <f t="shared" si="4"/>
        <v>45496</v>
      </c>
      <c r="J9" s="143" t="str">
        <f t="shared" si="5"/>
        <v>S-005FL/2024/07/23</v>
      </c>
      <c r="K9" s="143" t="str">
        <f t="shared" si="6"/>
        <v>Eko Wahyudi</v>
      </c>
      <c r="L9" s="144">
        <f t="shared" si="7"/>
        <v>11</v>
      </c>
      <c r="M9" s="49" t="str">
        <f t="shared" si="8"/>
        <v>EW</v>
      </c>
      <c r="N9" s="144" t="str">
        <f t="shared" si="9"/>
        <v>EW-23JUL2024</v>
      </c>
    </row>
    <row r="10" spans="2:14" x14ac:dyDescent="0.25">
      <c r="B10" s="12">
        <v>6</v>
      </c>
      <c r="C10" s="232" t="s">
        <v>534</v>
      </c>
      <c r="D10" s="141" t="s">
        <v>406</v>
      </c>
      <c r="E10" s="33" t="str">
        <f t="shared" si="0"/>
        <v>Biasa</v>
      </c>
      <c r="F10" s="33" t="str">
        <f t="shared" si="1"/>
        <v>2024</v>
      </c>
      <c r="G10" s="33" t="str">
        <f t="shared" si="2"/>
        <v>08</v>
      </c>
      <c r="H10" s="33" t="str">
        <f t="shared" si="3"/>
        <v>24</v>
      </c>
      <c r="I10" s="142">
        <f t="shared" si="4"/>
        <v>45528</v>
      </c>
      <c r="J10" s="143" t="str">
        <f t="shared" si="5"/>
        <v>B-006FL/2024/08/24</v>
      </c>
      <c r="K10" s="143" t="str">
        <f t="shared" si="6"/>
        <v>Fitri Anjani</v>
      </c>
      <c r="L10" s="144">
        <f t="shared" si="7"/>
        <v>12</v>
      </c>
      <c r="M10" s="49" t="str">
        <f t="shared" si="8"/>
        <v>FA</v>
      </c>
      <c r="N10" s="144" t="str">
        <f t="shared" si="9"/>
        <v>FA-24AUG2024</v>
      </c>
    </row>
    <row r="11" spans="2:14" x14ac:dyDescent="0.25">
      <c r="B11" s="12">
        <v>7</v>
      </c>
      <c r="C11" s="232" t="s">
        <v>407</v>
      </c>
      <c r="D11" s="141" t="s">
        <v>540</v>
      </c>
      <c r="E11" s="33" t="str">
        <f t="shared" si="0"/>
        <v>Biasa</v>
      </c>
      <c r="F11" s="33" t="str">
        <f t="shared" si="1"/>
        <v>2024</v>
      </c>
      <c r="G11" s="33" t="str">
        <f t="shared" si="2"/>
        <v>08</v>
      </c>
      <c r="H11" s="33" t="str">
        <f t="shared" si="3"/>
        <v>25</v>
      </c>
      <c r="I11" s="142">
        <f t="shared" si="4"/>
        <v>45529</v>
      </c>
      <c r="J11" s="143" t="str">
        <f t="shared" si="5"/>
        <v>B-007FL/2024/08/25</v>
      </c>
      <c r="K11" s="143" t="str">
        <f t="shared" si="6"/>
        <v>Galih Permana</v>
      </c>
      <c r="L11" s="144">
        <f t="shared" si="7"/>
        <v>13</v>
      </c>
      <c r="M11" s="49" t="str">
        <f t="shared" si="8"/>
        <v>GP</v>
      </c>
      <c r="N11" s="144" t="str">
        <f t="shared" si="9"/>
        <v>GP-25AUG2024</v>
      </c>
    </row>
    <row r="12" spans="2:14" x14ac:dyDescent="0.25">
      <c r="B12" s="12">
        <v>8</v>
      </c>
      <c r="C12" s="232" t="s">
        <v>408</v>
      </c>
      <c r="D12" s="141" t="s">
        <v>25</v>
      </c>
      <c r="E12" s="33" t="str">
        <f t="shared" si="0"/>
        <v>Rahasia</v>
      </c>
      <c r="F12" s="33" t="str">
        <f t="shared" si="1"/>
        <v>2024</v>
      </c>
      <c r="G12" s="33" t="str">
        <f t="shared" si="2"/>
        <v>08</v>
      </c>
      <c r="H12" s="33" t="str">
        <f t="shared" si="3"/>
        <v>02</v>
      </c>
      <c r="I12" s="142">
        <f t="shared" si="4"/>
        <v>45506</v>
      </c>
      <c r="J12" s="143" t="str">
        <f t="shared" si="5"/>
        <v>R-008FL/2024/08/02</v>
      </c>
      <c r="K12" s="143" t="str">
        <f t="shared" si="6"/>
        <v>Hendra Gunawan</v>
      </c>
      <c r="L12" s="144">
        <f t="shared" si="7"/>
        <v>14</v>
      </c>
      <c r="M12" s="49" t="str">
        <f t="shared" si="8"/>
        <v>HG</v>
      </c>
      <c r="N12" s="144" t="str">
        <f t="shared" si="9"/>
        <v>HG-02AUG2024</v>
      </c>
    </row>
    <row r="13" spans="2:14" x14ac:dyDescent="0.25">
      <c r="B13" s="12">
        <v>9</v>
      </c>
      <c r="C13" s="232" t="s">
        <v>409</v>
      </c>
      <c r="D13" s="141" t="s">
        <v>541</v>
      </c>
      <c r="E13" s="33" t="str">
        <f t="shared" si="0"/>
        <v>Segera</v>
      </c>
      <c r="F13" s="33" t="str">
        <f t="shared" si="1"/>
        <v>2024</v>
      </c>
      <c r="G13" s="33" t="str">
        <f t="shared" si="2"/>
        <v>08</v>
      </c>
      <c r="H13" s="33" t="str">
        <f t="shared" si="3"/>
        <v>27</v>
      </c>
      <c r="I13" s="142">
        <f t="shared" si="4"/>
        <v>45531</v>
      </c>
      <c r="J13" s="143" t="str">
        <f t="shared" si="5"/>
        <v>S-009FL/2024/08/27</v>
      </c>
      <c r="K13" s="143" t="str">
        <f t="shared" si="6"/>
        <v>Indah Sari</v>
      </c>
      <c r="L13" s="144">
        <f t="shared" si="7"/>
        <v>10</v>
      </c>
      <c r="M13" s="49" t="str">
        <f t="shared" si="8"/>
        <v>IS</v>
      </c>
      <c r="N13" s="144" t="str">
        <f t="shared" si="9"/>
        <v>IS-27AUG2024</v>
      </c>
    </row>
    <row r="14" spans="2:14" x14ac:dyDescent="0.25">
      <c r="B14" s="12">
        <v>10</v>
      </c>
      <c r="C14" s="232" t="s">
        <v>535</v>
      </c>
      <c r="D14" s="141" t="s">
        <v>410</v>
      </c>
      <c r="E14" s="33" t="str">
        <f t="shared" si="0"/>
        <v>Biasa</v>
      </c>
      <c r="F14" s="33" t="str">
        <f t="shared" si="1"/>
        <v>2025</v>
      </c>
      <c r="G14" s="33" t="str">
        <f t="shared" si="2"/>
        <v>06</v>
      </c>
      <c r="H14" s="33" t="str">
        <f t="shared" si="3"/>
        <v>28</v>
      </c>
      <c r="I14" s="142">
        <f t="shared" si="4"/>
        <v>45836</v>
      </c>
      <c r="J14" s="143" t="str">
        <f t="shared" si="5"/>
        <v>B-010FL/2025/06/28</v>
      </c>
      <c r="K14" s="143" t="str">
        <f t="shared" si="6"/>
        <v>Joko Susilo</v>
      </c>
      <c r="L14" s="144">
        <f t="shared" si="7"/>
        <v>11</v>
      </c>
      <c r="M14" s="49" t="str">
        <f t="shared" si="8"/>
        <v>JS</v>
      </c>
      <c r="N14" s="144" t="str">
        <f t="shared" si="9"/>
        <v>JS-28JUN2025</v>
      </c>
    </row>
    <row r="15" spans="2:14" x14ac:dyDescent="0.25">
      <c r="B15" s="12">
        <v>11</v>
      </c>
      <c r="C15" s="232" t="s">
        <v>411</v>
      </c>
      <c r="D15" s="141" t="s">
        <v>542</v>
      </c>
      <c r="E15" s="33" t="str">
        <f t="shared" si="0"/>
        <v>Biasa</v>
      </c>
      <c r="F15" s="33" t="str">
        <f t="shared" si="1"/>
        <v>2025</v>
      </c>
      <c r="G15" s="33" t="str">
        <f t="shared" si="2"/>
        <v>08</v>
      </c>
      <c r="H15" s="33" t="str">
        <f t="shared" si="3"/>
        <v>29</v>
      </c>
      <c r="I15" s="142">
        <f t="shared" si="4"/>
        <v>45898</v>
      </c>
      <c r="J15" s="143" t="str">
        <f t="shared" si="5"/>
        <v>B-011FL/2025/08/29</v>
      </c>
      <c r="K15" s="143" t="str">
        <f t="shared" si="6"/>
        <v>Kartika Putri</v>
      </c>
      <c r="L15" s="144">
        <f t="shared" si="7"/>
        <v>13</v>
      </c>
      <c r="M15" s="49" t="str">
        <f t="shared" si="8"/>
        <v>KP</v>
      </c>
      <c r="N15" s="144" t="str">
        <f t="shared" si="9"/>
        <v>KP-29AUG2025</v>
      </c>
    </row>
    <row r="16" spans="2:14" x14ac:dyDescent="0.25">
      <c r="B16" s="12">
        <v>12</v>
      </c>
      <c r="C16" s="232" t="s">
        <v>536</v>
      </c>
      <c r="D16" s="141" t="s">
        <v>412</v>
      </c>
      <c r="E16" s="33" t="str">
        <f t="shared" si="0"/>
        <v>Rahasia</v>
      </c>
      <c r="F16" s="33" t="str">
        <f t="shared" si="1"/>
        <v>2025</v>
      </c>
      <c r="G16" s="33" t="str">
        <f t="shared" si="2"/>
        <v>08</v>
      </c>
      <c r="H16" s="33" t="str">
        <f t="shared" si="3"/>
        <v>29</v>
      </c>
      <c r="I16" s="142">
        <f t="shared" si="4"/>
        <v>45898</v>
      </c>
      <c r="J16" s="143" t="str">
        <f t="shared" si="5"/>
        <v>R-012FL/2025/08/29</v>
      </c>
      <c r="K16" s="143" t="str">
        <f t="shared" si="6"/>
        <v>Lestari Ayu</v>
      </c>
      <c r="L16" s="144">
        <f t="shared" si="7"/>
        <v>11</v>
      </c>
      <c r="M16" s="49" t="str">
        <f t="shared" si="8"/>
        <v>LA</v>
      </c>
      <c r="N16" s="144" t="str">
        <f t="shared" si="9"/>
        <v>LA-29AUG2025</v>
      </c>
    </row>
    <row r="17" spans="2:14" x14ac:dyDescent="0.25">
      <c r="B17" s="12">
        <v>13</v>
      </c>
      <c r="C17" s="232" t="s">
        <v>413</v>
      </c>
      <c r="D17" s="141" t="s">
        <v>543</v>
      </c>
      <c r="E17" s="33" t="str">
        <f t="shared" si="0"/>
        <v>Segera</v>
      </c>
      <c r="F17" s="33" t="str">
        <f t="shared" si="1"/>
        <v>2025</v>
      </c>
      <c r="G17" s="33" t="str">
        <f t="shared" si="2"/>
        <v>08</v>
      </c>
      <c r="H17" s="33" t="str">
        <f t="shared" si="3"/>
        <v>30</v>
      </c>
      <c r="I17" s="142">
        <f t="shared" si="4"/>
        <v>45899</v>
      </c>
      <c r="J17" s="143" t="str">
        <f t="shared" si="5"/>
        <v>S-013FL/2025/08/30</v>
      </c>
      <c r="K17" s="143" t="str">
        <f t="shared" si="6"/>
        <v>Muhammad Rizky</v>
      </c>
      <c r="L17" s="144">
        <f t="shared" si="7"/>
        <v>14</v>
      </c>
      <c r="M17" s="49" t="str">
        <f t="shared" si="8"/>
        <v>MR</v>
      </c>
      <c r="N17" s="144" t="str">
        <f t="shared" si="9"/>
        <v>MR-30AUG2025</v>
      </c>
    </row>
    <row r="18" spans="2:14" x14ac:dyDescent="0.25">
      <c r="B18" s="12">
        <v>14</v>
      </c>
      <c r="C18" s="232" t="s">
        <v>414</v>
      </c>
      <c r="D18" s="141" t="s">
        <v>415</v>
      </c>
      <c r="E18" s="33" t="str">
        <f t="shared" si="0"/>
        <v>Segera</v>
      </c>
      <c r="F18" s="33" t="str">
        <f t="shared" si="1"/>
        <v>2025</v>
      </c>
      <c r="G18" s="33" t="str">
        <f t="shared" si="2"/>
        <v>11</v>
      </c>
      <c r="H18" s="33" t="str">
        <f t="shared" si="3"/>
        <v>30</v>
      </c>
      <c r="I18" s="142">
        <f t="shared" si="4"/>
        <v>45991</v>
      </c>
      <c r="J18" s="143" t="str">
        <f t="shared" si="5"/>
        <v>S-014FL/2025/11/30</v>
      </c>
      <c r="K18" s="143" t="str">
        <f t="shared" si="6"/>
        <v>Nadia Kusuma</v>
      </c>
      <c r="L18" s="144">
        <f t="shared" si="7"/>
        <v>12</v>
      </c>
      <c r="M18" s="49" t="str">
        <f t="shared" si="8"/>
        <v>NK</v>
      </c>
      <c r="N18" s="144" t="str">
        <f t="shared" si="9"/>
        <v>NK-30NOV2025</v>
      </c>
    </row>
    <row r="21" spans="2:14" x14ac:dyDescent="0.25">
      <c r="B21" s="235" t="s">
        <v>130</v>
      </c>
      <c r="C21" s="236" t="s">
        <v>544</v>
      </c>
    </row>
    <row r="22" spans="2:14" x14ac:dyDescent="0.25">
      <c r="B22" s="237" t="s">
        <v>318</v>
      </c>
      <c r="C22" s="236" t="s">
        <v>545</v>
      </c>
    </row>
    <row r="23" spans="2:14" x14ac:dyDescent="0.25">
      <c r="B23" s="237" t="s">
        <v>136</v>
      </c>
      <c r="C23" s="236" t="s">
        <v>394</v>
      </c>
    </row>
  </sheetData>
  <conditionalFormatting sqref="B3:N3">
    <cfRule type="expression" dxfId="38" priority="2">
      <formula>$A3=14</formula>
    </cfRule>
  </conditionalFormatting>
  <conditionalFormatting sqref="B5:N18">
    <cfRule type="expression" dxfId="37" priority="1">
      <formula>$A5=14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BF15-DC73-4A48-A9B0-8F19EEF09304}">
  <dimension ref="A1:V14"/>
  <sheetViews>
    <sheetView topLeftCell="I1" zoomScale="80" zoomScaleNormal="80" workbookViewId="0">
      <selection activeCell="K15" sqref="K15"/>
    </sheetView>
  </sheetViews>
  <sheetFormatPr defaultRowHeight="15" x14ac:dyDescent="0.25"/>
  <cols>
    <col min="2" max="2" width="4" bestFit="1" customWidth="1"/>
    <col min="3" max="3" width="11.7109375" bestFit="1" customWidth="1"/>
    <col min="4" max="4" width="18" bestFit="1" customWidth="1"/>
    <col min="5" max="5" width="11.7109375" customWidth="1"/>
    <col min="6" max="6" width="16.7109375" customWidth="1"/>
    <col min="7" max="7" width="20.85546875" customWidth="1"/>
    <col min="8" max="8" width="8.5703125" customWidth="1"/>
    <col min="9" max="9" width="21.7109375" customWidth="1"/>
    <col min="10" max="10" width="25.42578125" customWidth="1"/>
    <col min="11" max="11" width="19.28515625" customWidth="1"/>
    <col min="13" max="13" width="6.5703125" customWidth="1"/>
    <col min="14" max="14" width="36.140625" bestFit="1" customWidth="1"/>
    <col min="16" max="16" width="12.7109375" customWidth="1"/>
    <col min="18" max="18" width="26.7109375" customWidth="1"/>
    <col min="19" max="19" width="19" customWidth="1"/>
    <col min="21" max="21" width="6.28515625" bestFit="1" customWidth="1"/>
    <col min="22" max="22" width="36.710937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x14ac:dyDescent="0.25">
      <c r="A2" s="1"/>
      <c r="B2" s="3" t="s">
        <v>0</v>
      </c>
      <c r="C2" s="3" t="s">
        <v>416</v>
      </c>
      <c r="D2" s="3" t="s">
        <v>417</v>
      </c>
      <c r="E2" s="153" t="s">
        <v>459</v>
      </c>
      <c r="F2" s="153" t="s">
        <v>440</v>
      </c>
      <c r="G2" s="153" t="s">
        <v>450</v>
      </c>
      <c r="H2" s="153" t="s">
        <v>418</v>
      </c>
      <c r="I2" s="153" t="s">
        <v>451</v>
      </c>
      <c r="J2" s="153" t="s">
        <v>452</v>
      </c>
      <c r="K2" s="153" t="s">
        <v>460</v>
      </c>
    </row>
    <row r="3" spans="1:22" x14ac:dyDescent="0.25">
      <c r="A3" s="1"/>
      <c r="B3" s="12">
        <v>1</v>
      </c>
      <c r="C3" s="141" t="s">
        <v>419</v>
      </c>
      <c r="D3" s="141" t="s">
        <v>420</v>
      </c>
      <c r="E3" s="154" t="str">
        <f>MID(C3,3,4)</f>
        <v>2015</v>
      </c>
      <c r="F3" s="155" t="str">
        <f>VLOOKUP(LEFT(C3,2),$M$4:$N$9,2,0)</f>
        <v>Ekonomi</v>
      </c>
      <c r="G3" s="155" t="str">
        <f>IF(MID(C3,7,1)="1","Bekasi",IF(MID(C3,7,1)="2","Depok",IF(MID(C3,7,1)="3","Bogor","-")))</f>
        <v>Bekasi</v>
      </c>
      <c r="H3" s="156">
        <v>4</v>
      </c>
      <c r="I3" s="157">
        <f>IF(H3&lt;2.5,0%,IF(H3&lt;=3.5,5%,15%))</f>
        <v>0.15</v>
      </c>
      <c r="J3" s="158">
        <f>IF(VALUE(E3)=2013,5000000,IF(VALUE(E3)=2014,6000000,7000000))</f>
        <v>7000000</v>
      </c>
      <c r="K3" s="159">
        <f>J3-(J3*I3)</f>
        <v>5950000</v>
      </c>
      <c r="M3" s="216" t="s">
        <v>439</v>
      </c>
      <c r="N3" s="217"/>
    </row>
    <row r="4" spans="1:22" ht="16.5" x14ac:dyDescent="0.3">
      <c r="A4" s="1"/>
      <c r="B4" s="12">
        <v>2</v>
      </c>
      <c r="C4" s="141" t="s">
        <v>421</v>
      </c>
      <c r="D4" s="141" t="s">
        <v>422</v>
      </c>
      <c r="E4" s="154" t="str">
        <f t="shared" ref="E4:E12" si="0">MID(C4,3,4)</f>
        <v>2014</v>
      </c>
      <c r="F4" s="155" t="str">
        <f>VLOOKUP(LEFT(C4,2),$M$4:$N$9,2,0)</f>
        <v>Teknik Sipil</v>
      </c>
      <c r="G4" s="155" t="str">
        <f t="shared" ref="G4:G12" si="1">IF(MID(C4,7,1)="1","Bekasi",IF(MID(C4,7,1)="2","Depok",IF(MID(C4,7,1)="3","Bogor","-")))</f>
        <v>Depok</v>
      </c>
      <c r="H4" s="156">
        <v>3</v>
      </c>
      <c r="I4" s="157">
        <f t="shared" ref="I4:I12" si="2">IF(H4&lt;2.5,0%,IF(H4&lt;=3.5,5%,15%))</f>
        <v>0.05</v>
      </c>
      <c r="J4" s="158">
        <f t="shared" ref="J4:J12" si="3">IF(VALUE(E4)=2013,5000000,IF(VALUE(E4)=2014,6000000,7000000))</f>
        <v>6000000</v>
      </c>
      <c r="K4" s="159">
        <f t="shared" ref="K4:K12" si="4">J4-(J4*I4)</f>
        <v>5700000</v>
      </c>
      <c r="M4" s="148" t="s">
        <v>276</v>
      </c>
      <c r="N4" s="148" t="s">
        <v>440</v>
      </c>
    </row>
    <row r="5" spans="1:22" x14ac:dyDescent="0.25">
      <c r="A5" s="1"/>
      <c r="B5" s="12">
        <v>3</v>
      </c>
      <c r="C5" s="141" t="s">
        <v>423</v>
      </c>
      <c r="D5" s="141" t="s">
        <v>424</v>
      </c>
      <c r="E5" s="154" t="str">
        <f t="shared" si="0"/>
        <v>2013</v>
      </c>
      <c r="F5" s="155" t="str">
        <f>VLOOKUP(LEFT(C5,2),$M$4:$N$9,2,0)</f>
        <v>Hukum</v>
      </c>
      <c r="G5" s="155" t="str">
        <f t="shared" si="1"/>
        <v>Depok</v>
      </c>
      <c r="H5" s="156">
        <v>3.4</v>
      </c>
      <c r="I5" s="157">
        <f t="shared" si="2"/>
        <v>0.05</v>
      </c>
      <c r="J5" s="158">
        <f t="shared" si="3"/>
        <v>5000000</v>
      </c>
      <c r="K5" s="159">
        <f t="shared" si="4"/>
        <v>4750000</v>
      </c>
      <c r="M5" s="150" t="s">
        <v>441</v>
      </c>
      <c r="N5" s="151" t="s">
        <v>442</v>
      </c>
    </row>
    <row r="6" spans="1:22" x14ac:dyDescent="0.25">
      <c r="A6" s="1"/>
      <c r="B6" s="12">
        <v>4</v>
      </c>
      <c r="C6" s="141" t="s">
        <v>425</v>
      </c>
      <c r="D6" s="141" t="s">
        <v>426</v>
      </c>
      <c r="E6" s="154" t="str">
        <f t="shared" si="0"/>
        <v>2015</v>
      </c>
      <c r="F6" s="155" t="str">
        <f>VLOOKUP(LEFT(C6,2),$M$4:$N$9,2,0)</f>
        <v>Ekonomi</v>
      </c>
      <c r="G6" s="155" t="str">
        <f t="shared" si="1"/>
        <v>Bogor</v>
      </c>
      <c r="H6" s="156">
        <v>2.2000000000000002</v>
      </c>
      <c r="I6" s="157">
        <f t="shared" si="2"/>
        <v>0</v>
      </c>
      <c r="J6" s="158">
        <f t="shared" si="3"/>
        <v>7000000</v>
      </c>
      <c r="K6" s="159">
        <f t="shared" si="4"/>
        <v>7000000</v>
      </c>
      <c r="M6" s="150" t="s">
        <v>443</v>
      </c>
      <c r="N6" s="151" t="s">
        <v>444</v>
      </c>
    </row>
    <row r="7" spans="1:22" x14ac:dyDescent="0.25">
      <c r="A7" s="1"/>
      <c r="B7" s="12">
        <v>5</v>
      </c>
      <c r="C7" s="141" t="s">
        <v>427</v>
      </c>
      <c r="D7" s="141" t="s">
        <v>428</v>
      </c>
      <c r="E7" s="154" t="str">
        <f t="shared" si="0"/>
        <v>2015</v>
      </c>
      <c r="F7" s="155" t="str">
        <f>VLOOKUP(LEFT(C7,2),$M$4:$N$9,2,0)</f>
        <v>Arsitek</v>
      </c>
      <c r="G7" s="155" t="str">
        <f t="shared" si="1"/>
        <v>Bekasi</v>
      </c>
      <c r="H7" s="156">
        <v>4</v>
      </c>
      <c r="I7" s="157">
        <f t="shared" si="2"/>
        <v>0.15</v>
      </c>
      <c r="J7" s="158">
        <f t="shared" si="3"/>
        <v>7000000</v>
      </c>
      <c r="K7" s="159">
        <f t="shared" si="4"/>
        <v>5950000</v>
      </c>
      <c r="M7" s="150" t="s">
        <v>445</v>
      </c>
      <c r="N7" s="151" t="s">
        <v>446</v>
      </c>
    </row>
    <row r="8" spans="1:22" x14ac:dyDescent="0.25">
      <c r="A8" s="1"/>
      <c r="B8" s="12">
        <v>6</v>
      </c>
      <c r="C8" s="141" t="s">
        <v>429</v>
      </c>
      <c r="D8" s="141" t="s">
        <v>430</v>
      </c>
      <c r="E8" s="154" t="str">
        <f t="shared" si="0"/>
        <v>2014</v>
      </c>
      <c r="F8" s="155" t="str">
        <f>VLOOKUP(LEFT(C8,2),$M$4:$N$9,2,0)</f>
        <v>Sosial Politik</v>
      </c>
      <c r="G8" s="155" t="str">
        <f t="shared" si="1"/>
        <v>Bogor</v>
      </c>
      <c r="H8" s="156">
        <v>3</v>
      </c>
      <c r="I8" s="157">
        <f t="shared" si="2"/>
        <v>0.05</v>
      </c>
      <c r="J8" s="158">
        <f t="shared" si="3"/>
        <v>6000000</v>
      </c>
      <c r="K8" s="159">
        <f t="shared" si="4"/>
        <v>5700000</v>
      </c>
      <c r="M8" s="150" t="s">
        <v>447</v>
      </c>
      <c r="N8" s="151" t="s">
        <v>448</v>
      </c>
    </row>
    <row r="9" spans="1:22" x14ac:dyDescent="0.25">
      <c r="A9" s="1"/>
      <c r="B9" s="12">
        <v>7</v>
      </c>
      <c r="C9" s="141" t="s">
        <v>431</v>
      </c>
      <c r="D9" s="141" t="s">
        <v>432</v>
      </c>
      <c r="E9" s="154" t="str">
        <f t="shared" si="0"/>
        <v>2015</v>
      </c>
      <c r="F9" s="155" t="str">
        <f t="shared" ref="F9:F12" si="5">VLOOKUP(LEFT(C9,2),$M$4:$N$9,2,0)</f>
        <v>Teknik Sipil</v>
      </c>
      <c r="G9" s="155" t="str">
        <f t="shared" si="1"/>
        <v>Bogor</v>
      </c>
      <c r="H9" s="156">
        <v>3.5</v>
      </c>
      <c r="I9" s="157">
        <f t="shared" si="2"/>
        <v>0.05</v>
      </c>
      <c r="J9" s="158">
        <f t="shared" si="3"/>
        <v>7000000</v>
      </c>
      <c r="K9" s="159">
        <f t="shared" si="4"/>
        <v>6650000</v>
      </c>
      <c r="M9" s="150" t="s">
        <v>199</v>
      </c>
      <c r="N9" s="151" t="s">
        <v>449</v>
      </c>
    </row>
    <row r="10" spans="1:22" x14ac:dyDescent="0.25">
      <c r="A10" s="1"/>
      <c r="B10" s="12">
        <v>8</v>
      </c>
      <c r="C10" s="141" t="s">
        <v>433</v>
      </c>
      <c r="D10" s="141" t="s">
        <v>434</v>
      </c>
      <c r="E10" s="154" t="str">
        <f t="shared" si="0"/>
        <v>2013</v>
      </c>
      <c r="F10" s="155" t="str">
        <f t="shared" si="5"/>
        <v>Ekonomi</v>
      </c>
      <c r="G10" s="155" t="str">
        <f t="shared" si="1"/>
        <v>Bogor</v>
      </c>
      <c r="H10" s="156">
        <v>2.2999999999999998</v>
      </c>
      <c r="I10" s="157">
        <f t="shared" si="2"/>
        <v>0</v>
      </c>
      <c r="J10" s="158">
        <f t="shared" si="3"/>
        <v>5000000</v>
      </c>
      <c r="K10" s="159">
        <f t="shared" si="4"/>
        <v>5000000</v>
      </c>
      <c r="M10" s="152"/>
    </row>
    <row r="11" spans="1:22" x14ac:dyDescent="0.25">
      <c r="A11" s="1"/>
      <c r="B11" s="12">
        <v>9</v>
      </c>
      <c r="C11" s="141" t="s">
        <v>435</v>
      </c>
      <c r="D11" s="141" t="s">
        <v>436</v>
      </c>
      <c r="E11" s="154" t="str">
        <f t="shared" si="0"/>
        <v>2015</v>
      </c>
      <c r="F11" s="155" t="str">
        <f t="shared" si="5"/>
        <v>Hukum</v>
      </c>
      <c r="G11" s="155" t="str">
        <f t="shared" si="1"/>
        <v>Depok</v>
      </c>
      <c r="H11" s="156">
        <v>3.3</v>
      </c>
      <c r="I11" s="157">
        <f t="shared" si="2"/>
        <v>0.05</v>
      </c>
      <c r="J11" s="158">
        <f t="shared" si="3"/>
        <v>7000000</v>
      </c>
      <c r="K11" s="159">
        <f t="shared" si="4"/>
        <v>6650000</v>
      </c>
      <c r="M11" s="149"/>
      <c r="N11" s="218" t="s">
        <v>450</v>
      </c>
      <c r="O11" s="218"/>
      <c r="P11" s="218"/>
      <c r="Q11" s="219" t="s">
        <v>451</v>
      </c>
      <c r="R11" s="219"/>
      <c r="S11" s="219"/>
      <c r="T11" s="218" t="s">
        <v>452</v>
      </c>
      <c r="U11" s="218"/>
      <c r="V11" s="218"/>
    </row>
    <row r="12" spans="1:22" x14ac:dyDescent="0.25">
      <c r="A12" s="1"/>
      <c r="B12" s="12">
        <v>10</v>
      </c>
      <c r="C12" s="141" t="s">
        <v>437</v>
      </c>
      <c r="D12" s="141" t="s">
        <v>438</v>
      </c>
      <c r="E12" s="154" t="str">
        <f t="shared" si="0"/>
        <v>2014</v>
      </c>
      <c r="F12" s="155" t="str">
        <f t="shared" si="5"/>
        <v>Arsitek</v>
      </c>
      <c r="G12" s="155" t="str">
        <f t="shared" si="1"/>
        <v>Bekasi</v>
      </c>
      <c r="H12" s="156">
        <v>3</v>
      </c>
      <c r="I12" s="157">
        <f t="shared" si="2"/>
        <v>0.05</v>
      </c>
      <c r="J12" s="158">
        <f t="shared" si="3"/>
        <v>6000000</v>
      </c>
      <c r="K12" s="159">
        <f t="shared" si="4"/>
        <v>5700000</v>
      </c>
      <c r="M12" s="149"/>
      <c r="N12" s="220" t="s">
        <v>524</v>
      </c>
      <c r="O12" s="220"/>
      <c r="P12" s="220"/>
      <c r="Q12" s="220" t="s">
        <v>453</v>
      </c>
      <c r="R12" s="220"/>
      <c r="S12" s="220"/>
      <c r="T12" s="221" t="s">
        <v>454</v>
      </c>
      <c r="U12" s="221"/>
      <c r="V12" s="221"/>
    </row>
    <row r="13" spans="1:22" x14ac:dyDescent="0.25">
      <c r="B13" s="146"/>
      <c r="C13" s="146"/>
      <c r="H13" s="147"/>
      <c r="I13" s="147"/>
      <c r="M13" s="149"/>
      <c r="N13" s="220" t="s">
        <v>525</v>
      </c>
      <c r="O13" s="220"/>
      <c r="P13" s="220"/>
      <c r="Q13" s="220" t="s">
        <v>455</v>
      </c>
      <c r="R13" s="220"/>
      <c r="S13" s="220"/>
      <c r="T13" s="221" t="s">
        <v>456</v>
      </c>
      <c r="U13" s="221"/>
      <c r="V13" s="221"/>
    </row>
    <row r="14" spans="1:22" x14ac:dyDescent="0.25">
      <c r="M14" s="149"/>
      <c r="N14" s="220" t="s">
        <v>526</v>
      </c>
      <c r="O14" s="220"/>
      <c r="P14" s="220"/>
      <c r="Q14" s="220" t="s">
        <v>457</v>
      </c>
      <c r="R14" s="220"/>
      <c r="S14" s="220"/>
      <c r="T14" s="221" t="s">
        <v>458</v>
      </c>
      <c r="U14" s="221"/>
      <c r="V14" s="221"/>
    </row>
  </sheetData>
  <mergeCells count="13">
    <mergeCell ref="M3:N3"/>
    <mergeCell ref="N11:P11"/>
    <mergeCell ref="Q11:S11"/>
    <mergeCell ref="T11:V11"/>
    <mergeCell ref="N14:P14"/>
    <mergeCell ref="Q14:S14"/>
    <mergeCell ref="T14:V14"/>
    <mergeCell ref="N12:P12"/>
    <mergeCell ref="Q12:S12"/>
    <mergeCell ref="T12:V12"/>
    <mergeCell ref="N13:P13"/>
    <mergeCell ref="Q13:S13"/>
    <mergeCell ref="T13:V13"/>
  </mergeCells>
  <conditionalFormatting sqref="B3:K12">
    <cfRule type="expression" dxfId="0" priority="1">
      <formula>$B3=10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3415-1A05-4CD8-B525-102C8D86523D}">
  <dimension ref="B2:Z13"/>
  <sheetViews>
    <sheetView tabSelected="1" workbookViewId="0">
      <selection activeCell="E18" sqref="E18"/>
    </sheetView>
  </sheetViews>
  <sheetFormatPr defaultRowHeight="15" x14ac:dyDescent="0.25"/>
  <cols>
    <col min="2" max="2" width="10.28515625" bestFit="1" customWidth="1"/>
    <col min="3" max="3" width="17.140625" bestFit="1" customWidth="1"/>
    <col min="5" max="5" width="11" bestFit="1" customWidth="1"/>
    <col min="7" max="7" width="6.42578125" bestFit="1" customWidth="1"/>
    <col min="8" max="15" width="5.5703125" bestFit="1" customWidth="1"/>
    <col min="16" max="16" width="6.42578125" bestFit="1" customWidth="1"/>
    <col min="17" max="17" width="5.85546875" bestFit="1" customWidth="1"/>
    <col min="18" max="25" width="6.42578125" bestFit="1" customWidth="1"/>
    <col min="26" max="26" width="7" bestFit="1" customWidth="1"/>
  </cols>
  <sheetData>
    <row r="2" spans="2:26" x14ac:dyDescent="0.25">
      <c r="B2" s="103" t="s">
        <v>461</v>
      </c>
      <c r="C2" s="103" t="s">
        <v>462</v>
      </c>
      <c r="D2" s="1"/>
      <c r="E2" s="103" t="s">
        <v>463</v>
      </c>
      <c r="F2" s="1"/>
      <c r="G2" s="103" t="s">
        <v>464</v>
      </c>
      <c r="H2" s="103" t="s">
        <v>465</v>
      </c>
      <c r="I2" s="103" t="s">
        <v>466</v>
      </c>
      <c r="J2" s="103" t="s">
        <v>467</v>
      </c>
      <c r="K2" s="103" t="s">
        <v>468</v>
      </c>
      <c r="L2" s="103" t="s">
        <v>469</v>
      </c>
      <c r="M2" s="103" t="s">
        <v>470</v>
      </c>
      <c r="N2" s="103" t="s">
        <v>471</v>
      </c>
      <c r="O2" s="103" t="s">
        <v>472</v>
      </c>
      <c r="P2" s="103" t="s">
        <v>473</v>
      </c>
      <c r="Q2" s="103" t="s">
        <v>474</v>
      </c>
      <c r="R2" s="103" t="s">
        <v>475</v>
      </c>
      <c r="S2" s="103" t="s">
        <v>476</v>
      </c>
      <c r="T2" s="103" t="s">
        <v>477</v>
      </c>
      <c r="U2" s="103" t="s">
        <v>478</v>
      </c>
      <c r="V2" s="103" t="s">
        <v>479</v>
      </c>
      <c r="W2" s="103" t="s">
        <v>480</v>
      </c>
      <c r="X2" s="103" t="s">
        <v>481</v>
      </c>
      <c r="Y2" s="103" t="s">
        <v>482</v>
      </c>
      <c r="Z2" s="103" t="s">
        <v>483</v>
      </c>
    </row>
    <row r="3" spans="2:26" ht="15.75" x14ac:dyDescent="0.25">
      <c r="B3" s="162" t="s">
        <v>484</v>
      </c>
      <c r="C3" s="160">
        <v>1132</v>
      </c>
      <c r="D3" s="1"/>
      <c r="E3" s="163" t="s">
        <v>485</v>
      </c>
      <c r="F3" s="1"/>
      <c r="G3" s="12">
        <v>12</v>
      </c>
      <c r="H3" s="12">
        <v>98</v>
      </c>
      <c r="I3" s="12">
        <v>97</v>
      </c>
      <c r="J3" s="12">
        <v>55</v>
      </c>
      <c r="K3" s="12">
        <v>3</v>
      </c>
      <c r="L3" s="12">
        <v>98</v>
      </c>
      <c r="M3" s="12">
        <v>87</v>
      </c>
      <c r="N3" s="12">
        <v>42</v>
      </c>
      <c r="O3" s="12">
        <v>22</v>
      </c>
      <c r="P3" s="12">
        <v>35</v>
      </c>
      <c r="Q3" s="12">
        <v>93</v>
      </c>
      <c r="R3" s="12">
        <v>27</v>
      </c>
      <c r="S3" s="12">
        <v>78</v>
      </c>
      <c r="T3" s="12">
        <v>90</v>
      </c>
      <c r="U3" s="12">
        <v>56</v>
      </c>
      <c r="V3" s="12">
        <v>14</v>
      </c>
      <c r="W3" s="12">
        <v>44</v>
      </c>
      <c r="X3" s="12">
        <v>73</v>
      </c>
      <c r="Y3" s="12">
        <v>43</v>
      </c>
      <c r="Z3" s="12">
        <v>65</v>
      </c>
    </row>
    <row r="4" spans="2:26" ht="15.75" x14ac:dyDescent="0.25">
      <c r="B4" s="161" t="s">
        <v>486</v>
      </c>
      <c r="C4" s="160">
        <v>4016</v>
      </c>
      <c r="D4" s="1"/>
      <c r="E4" s="164" t="s">
        <v>487</v>
      </c>
      <c r="F4" s="1"/>
      <c r="G4" s="115">
        <v>5000</v>
      </c>
      <c r="H4" s="115">
        <v>18</v>
      </c>
      <c r="I4" s="115">
        <v>95</v>
      </c>
      <c r="J4" s="115">
        <v>6</v>
      </c>
      <c r="K4" s="115">
        <v>74</v>
      </c>
      <c r="L4" s="115">
        <v>65</v>
      </c>
      <c r="M4" s="115">
        <v>59</v>
      </c>
      <c r="N4" s="115">
        <v>90</v>
      </c>
      <c r="O4" s="115">
        <v>38</v>
      </c>
      <c r="P4" s="115">
        <v>79</v>
      </c>
      <c r="Q4" s="115">
        <v>43</v>
      </c>
      <c r="R4" s="115">
        <v>52</v>
      </c>
      <c r="S4" s="115">
        <v>9</v>
      </c>
      <c r="T4" s="115">
        <v>49</v>
      </c>
      <c r="U4" s="115">
        <v>36</v>
      </c>
      <c r="V4" s="115">
        <v>61</v>
      </c>
      <c r="W4" s="115">
        <v>26</v>
      </c>
      <c r="X4" s="115">
        <v>91</v>
      </c>
      <c r="Y4" s="115">
        <v>7</v>
      </c>
      <c r="Z4" s="115">
        <v>86</v>
      </c>
    </row>
    <row r="5" spans="2:26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5.75" x14ac:dyDescent="0.25">
      <c r="B6" s="104" t="s">
        <v>287</v>
      </c>
      <c r="C6" s="160">
        <f>SUM(G6:Z6)</f>
        <v>980</v>
      </c>
      <c r="D6" s="1"/>
      <c r="E6" s="163" t="s">
        <v>485</v>
      </c>
      <c r="F6" s="1"/>
      <c r="G6" s="12">
        <v>7</v>
      </c>
      <c r="H6" s="12">
        <v>1</v>
      </c>
      <c r="I6" s="12">
        <v>27</v>
      </c>
      <c r="J6" s="12">
        <v>24</v>
      </c>
      <c r="K6" s="12">
        <v>97</v>
      </c>
      <c r="L6" s="12">
        <v>76</v>
      </c>
      <c r="M6" s="12">
        <v>83</v>
      </c>
      <c r="N6" s="12">
        <v>61</v>
      </c>
      <c r="O6" s="12">
        <v>59</v>
      </c>
      <c r="P6" s="12">
        <v>49</v>
      </c>
      <c r="Q6" s="12">
        <v>2</v>
      </c>
      <c r="R6" s="12">
        <v>75</v>
      </c>
      <c r="S6" s="12">
        <v>58</v>
      </c>
      <c r="T6" s="12">
        <v>76</v>
      </c>
      <c r="U6" s="12">
        <v>50</v>
      </c>
      <c r="V6" s="12">
        <v>17</v>
      </c>
      <c r="W6" s="12">
        <v>94</v>
      </c>
      <c r="X6" s="12">
        <v>33</v>
      </c>
      <c r="Y6" s="12">
        <v>44</v>
      </c>
      <c r="Z6" s="12">
        <v>47</v>
      </c>
    </row>
    <row r="7" spans="2:26" ht="15.75" x14ac:dyDescent="0.25">
      <c r="B7" s="112" t="s">
        <v>288</v>
      </c>
      <c r="C7" s="160">
        <f>G7-SUM(H7:Z7)</f>
        <v>201</v>
      </c>
      <c r="D7" s="1"/>
      <c r="E7" s="163" t="s">
        <v>487</v>
      </c>
      <c r="F7" s="1"/>
      <c r="G7" s="12">
        <v>1000</v>
      </c>
      <c r="H7" s="12">
        <v>41</v>
      </c>
      <c r="I7" s="12">
        <v>37</v>
      </c>
      <c r="J7" s="12">
        <v>74</v>
      </c>
      <c r="K7" s="12">
        <v>1</v>
      </c>
      <c r="L7" s="12">
        <v>4</v>
      </c>
      <c r="M7" s="12">
        <v>78</v>
      </c>
      <c r="N7" s="12">
        <v>74</v>
      </c>
      <c r="O7" s="12">
        <v>26</v>
      </c>
      <c r="P7" s="12">
        <v>12</v>
      </c>
      <c r="Q7" s="12">
        <v>76</v>
      </c>
      <c r="R7" s="12">
        <v>25</v>
      </c>
      <c r="S7" s="12">
        <v>16</v>
      </c>
      <c r="T7" s="12">
        <v>63</v>
      </c>
      <c r="U7" s="12">
        <v>2</v>
      </c>
      <c r="V7" s="12">
        <v>27</v>
      </c>
      <c r="W7" s="12">
        <v>85</v>
      </c>
      <c r="X7" s="12">
        <v>78</v>
      </c>
      <c r="Y7" s="12">
        <v>34</v>
      </c>
      <c r="Z7" s="12">
        <v>46</v>
      </c>
    </row>
    <row r="8" spans="2:26" ht="15.75" x14ac:dyDescent="0.25">
      <c r="B8" s="112" t="s">
        <v>289</v>
      </c>
      <c r="C8" s="160">
        <f>G7-SUM(H7:Z7)</f>
        <v>201</v>
      </c>
      <c r="D8" s="1"/>
      <c r="E8" s="163" t="s">
        <v>485</v>
      </c>
      <c r="F8" s="1"/>
      <c r="G8" s="12">
        <v>89</v>
      </c>
      <c r="H8" s="12">
        <v>8</v>
      </c>
      <c r="I8" s="12">
        <v>40</v>
      </c>
      <c r="J8" s="12">
        <v>48</v>
      </c>
      <c r="K8" s="12">
        <v>43</v>
      </c>
      <c r="L8" s="12">
        <v>11</v>
      </c>
      <c r="M8" s="12">
        <v>23</v>
      </c>
      <c r="N8" s="12">
        <v>58</v>
      </c>
      <c r="O8" s="12">
        <v>2</v>
      </c>
      <c r="P8" s="12">
        <v>16</v>
      </c>
      <c r="Q8" s="12">
        <v>26</v>
      </c>
      <c r="R8" s="12">
        <v>31</v>
      </c>
      <c r="S8" s="12">
        <v>62</v>
      </c>
      <c r="T8" s="12">
        <v>90</v>
      </c>
      <c r="U8" s="12">
        <v>81</v>
      </c>
      <c r="V8" s="12">
        <v>56</v>
      </c>
      <c r="W8" s="12">
        <v>7</v>
      </c>
      <c r="X8" s="12">
        <v>65</v>
      </c>
      <c r="Y8" s="12">
        <v>87</v>
      </c>
      <c r="Z8" s="12">
        <v>39</v>
      </c>
    </row>
    <row r="9" spans="2:26" ht="15.75" x14ac:dyDescent="0.25">
      <c r="B9" s="112" t="s">
        <v>290</v>
      </c>
      <c r="C9" s="160">
        <f>G9-SUM(H9:Z9)</f>
        <v>162</v>
      </c>
      <c r="D9" s="1"/>
      <c r="E9" s="163" t="s">
        <v>487</v>
      </c>
      <c r="F9" s="1"/>
      <c r="G9" s="12">
        <v>1000</v>
      </c>
      <c r="H9" s="12">
        <v>18</v>
      </c>
      <c r="I9" s="12">
        <v>80</v>
      </c>
      <c r="J9" s="12">
        <v>2</v>
      </c>
      <c r="K9" s="12">
        <v>91</v>
      </c>
      <c r="L9" s="12">
        <v>37</v>
      </c>
      <c r="M9" s="12">
        <v>2</v>
      </c>
      <c r="N9" s="12">
        <v>95</v>
      </c>
      <c r="O9" s="12">
        <v>2</v>
      </c>
      <c r="P9" s="12">
        <v>92</v>
      </c>
      <c r="Q9" s="12">
        <v>54</v>
      </c>
      <c r="R9" s="12">
        <v>75</v>
      </c>
      <c r="S9" s="12">
        <v>4</v>
      </c>
      <c r="T9" s="12">
        <v>4</v>
      </c>
      <c r="U9" s="12">
        <v>17</v>
      </c>
      <c r="V9" s="12">
        <v>81</v>
      </c>
      <c r="W9" s="12">
        <v>19</v>
      </c>
      <c r="X9" s="12">
        <v>40</v>
      </c>
      <c r="Y9" s="12">
        <v>46</v>
      </c>
      <c r="Z9" s="12">
        <v>79</v>
      </c>
    </row>
    <row r="10" spans="2:26" ht="15.75" x14ac:dyDescent="0.25">
      <c r="B10" s="112" t="s">
        <v>291</v>
      </c>
      <c r="C10" s="160">
        <f>PRODUCT(G10:Z10)</f>
        <v>11287019520</v>
      </c>
      <c r="D10" s="1"/>
      <c r="E10" s="163" t="s">
        <v>488</v>
      </c>
      <c r="F10" s="1"/>
      <c r="G10" s="12">
        <v>4</v>
      </c>
      <c r="H10" s="12">
        <v>3</v>
      </c>
      <c r="I10" s="12">
        <v>7</v>
      </c>
      <c r="J10" s="12">
        <v>9</v>
      </c>
      <c r="K10" s="12">
        <v>3</v>
      </c>
      <c r="L10" s="12">
        <v>2</v>
      </c>
      <c r="M10" s="12">
        <v>8</v>
      </c>
      <c r="N10" s="12">
        <v>2</v>
      </c>
      <c r="O10" s="12">
        <v>3</v>
      </c>
      <c r="P10" s="12">
        <v>4</v>
      </c>
      <c r="Q10" s="12">
        <v>9</v>
      </c>
      <c r="R10" s="12">
        <v>2</v>
      </c>
      <c r="S10" s="12">
        <v>1</v>
      </c>
      <c r="T10" s="12">
        <v>3</v>
      </c>
      <c r="U10" s="12">
        <v>4</v>
      </c>
      <c r="V10" s="12">
        <v>5</v>
      </c>
      <c r="W10" s="12">
        <v>1</v>
      </c>
      <c r="X10" s="12">
        <v>3</v>
      </c>
      <c r="Y10" s="12">
        <v>2</v>
      </c>
      <c r="Z10" s="12">
        <v>2</v>
      </c>
    </row>
    <row r="11" spans="2:26" ht="15.75" x14ac:dyDescent="0.25">
      <c r="B11" s="112" t="s">
        <v>292</v>
      </c>
      <c r="C11" s="160">
        <f>PRODUCT(G11:Z11)</f>
        <v>22861440000</v>
      </c>
      <c r="D11" s="1"/>
      <c r="E11" s="163" t="s">
        <v>488</v>
      </c>
      <c r="F11" s="1"/>
      <c r="G11" s="12">
        <v>8</v>
      </c>
      <c r="H11" s="12">
        <v>1</v>
      </c>
      <c r="I11" s="12">
        <v>1</v>
      </c>
      <c r="J11" s="12">
        <v>5</v>
      </c>
      <c r="K11" s="12">
        <v>6</v>
      </c>
      <c r="L11" s="12">
        <v>3</v>
      </c>
      <c r="M11" s="12">
        <v>5</v>
      </c>
      <c r="N11" s="12">
        <v>1</v>
      </c>
      <c r="O11" s="12">
        <v>2</v>
      </c>
      <c r="P11" s="12">
        <v>1</v>
      </c>
      <c r="Q11" s="12">
        <v>5</v>
      </c>
      <c r="R11" s="12">
        <v>1</v>
      </c>
      <c r="S11" s="12">
        <v>5</v>
      </c>
      <c r="T11" s="12">
        <v>9</v>
      </c>
      <c r="U11" s="12">
        <v>2</v>
      </c>
      <c r="V11" s="12">
        <v>7</v>
      </c>
      <c r="W11" s="12">
        <v>9</v>
      </c>
      <c r="X11" s="12">
        <v>7</v>
      </c>
      <c r="Y11" s="12">
        <v>4</v>
      </c>
      <c r="Z11" s="12">
        <v>4</v>
      </c>
    </row>
    <row r="12" spans="2:26" ht="15.75" x14ac:dyDescent="0.25">
      <c r="B12" s="112" t="s">
        <v>293</v>
      </c>
      <c r="C12" s="160">
        <f>G12/PRODUCT(H12:Z12)</f>
        <v>2.6791838134430728E-4</v>
      </c>
      <c r="D12" s="1"/>
      <c r="E12" s="163" t="s">
        <v>489</v>
      </c>
      <c r="F12" s="1"/>
      <c r="G12" s="12">
        <v>2000</v>
      </c>
      <c r="H12" s="12">
        <v>2</v>
      </c>
      <c r="I12" s="12">
        <v>4</v>
      </c>
      <c r="J12" s="12">
        <v>1</v>
      </c>
      <c r="K12" s="12">
        <v>3</v>
      </c>
      <c r="L12" s="12">
        <v>2</v>
      </c>
      <c r="M12" s="12">
        <v>1</v>
      </c>
      <c r="N12" s="12">
        <v>1</v>
      </c>
      <c r="O12" s="12">
        <v>3</v>
      </c>
      <c r="P12" s="12">
        <v>4</v>
      </c>
      <c r="Q12" s="12">
        <v>9</v>
      </c>
      <c r="R12" s="12">
        <v>1</v>
      </c>
      <c r="S12" s="12">
        <v>4</v>
      </c>
      <c r="T12" s="12">
        <v>3</v>
      </c>
      <c r="U12" s="12">
        <v>4</v>
      </c>
      <c r="V12" s="12">
        <v>5</v>
      </c>
      <c r="W12" s="12">
        <v>1</v>
      </c>
      <c r="X12" s="12">
        <v>3</v>
      </c>
      <c r="Y12" s="12">
        <v>2</v>
      </c>
      <c r="Z12" s="12">
        <v>1</v>
      </c>
    </row>
    <row r="13" spans="2:26" ht="15.75" x14ac:dyDescent="0.25">
      <c r="B13" s="112" t="s">
        <v>294</v>
      </c>
      <c r="C13" s="160">
        <f>G13/PRODUCT(H13:Z13)</f>
        <v>1.4580592182003116E-4</v>
      </c>
      <c r="D13" s="1"/>
      <c r="E13" s="163" t="s">
        <v>489</v>
      </c>
      <c r="F13" s="1"/>
      <c r="G13" s="12">
        <v>5000</v>
      </c>
      <c r="H13" s="12">
        <v>3</v>
      </c>
      <c r="I13" s="12">
        <v>1</v>
      </c>
      <c r="J13" s="12">
        <v>7</v>
      </c>
      <c r="K13" s="12">
        <v>2</v>
      </c>
      <c r="L13" s="12">
        <v>1</v>
      </c>
      <c r="M13" s="12">
        <v>4</v>
      </c>
      <c r="N13" s="12">
        <v>3</v>
      </c>
      <c r="O13" s="12">
        <v>2</v>
      </c>
      <c r="P13" s="12">
        <v>9</v>
      </c>
      <c r="Q13" s="12">
        <v>3</v>
      </c>
      <c r="R13" s="12">
        <v>1</v>
      </c>
      <c r="S13" s="12">
        <v>1</v>
      </c>
      <c r="T13" s="12">
        <v>2</v>
      </c>
      <c r="U13" s="12">
        <v>5</v>
      </c>
      <c r="V13" s="12">
        <v>7</v>
      </c>
      <c r="W13" s="12">
        <v>3</v>
      </c>
      <c r="X13" s="12">
        <v>6</v>
      </c>
      <c r="Y13" s="12">
        <v>1</v>
      </c>
      <c r="Z13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Sheet8.1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VEGA</dc:creator>
  <cp:lastModifiedBy>AMELIA VEGA</cp:lastModifiedBy>
  <dcterms:created xsi:type="dcterms:W3CDTF">2026-04-18T23:08:16Z</dcterms:created>
  <dcterms:modified xsi:type="dcterms:W3CDTF">2026-05-06T00:26:29Z</dcterms:modified>
</cp:coreProperties>
</file>